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istrator\Documents\LUXDEV\"/>
    </mc:Choice>
  </mc:AlternateContent>
  <xr:revisionPtr revIDLastSave="0" documentId="13_ncr:1_{963AF784-E8F7-402D-BFAE-D025889D4EB9}" xr6:coauthVersionLast="47" xr6:coauthVersionMax="47" xr10:uidLastSave="{00000000-0000-0000-0000-000000000000}"/>
  <bookViews>
    <workbookView xWindow="-108" yWindow="-108" windowWidth="23256" windowHeight="12456" xr2:uid="{1C7D7D10-191F-4A3C-A4D3-3701103D124C}"/>
  </bookViews>
  <sheets>
    <sheet name="Excel_jumia_dataset" sheetId="1" r:id="rId1"/>
    <sheet name="Working Sheet" sheetId="2" r:id="rId2"/>
    <sheet name="Pivots" sheetId="3" r:id="rId3"/>
    <sheet name="Dashboard" sheetId="4" r:id="rId4"/>
  </sheets>
  <definedNames>
    <definedName name="_xlnm._FilterDatabase" localSheetId="0" hidden="1">Excel_jumia_dataset!$A$1:$H$113</definedName>
    <definedName name="Slicer_Discount_Band">#N/A</definedName>
    <definedName name="Slicer_Product_Category">#N/A</definedName>
    <definedName name="Slicer_Rating_Category">#N/A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4" i="2" l="1"/>
  <c r="I114" i="2"/>
  <c r="H114" i="2"/>
  <c r="E114" i="2"/>
  <c r="D114" i="2"/>
  <c r="C114"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2" i="2"/>
  <c r="G49"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G98" i="2"/>
  <c r="F98" i="2"/>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2" i="1"/>
  <c r="F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2" i="1"/>
  <c r="F54" i="1"/>
  <c r="F55" i="1"/>
  <c r="F56" i="1"/>
  <c r="F57" i="1"/>
  <c r="F58" i="1"/>
  <c r="F47" i="1"/>
  <c r="F48" i="1"/>
  <c r="F50" i="1"/>
  <c r="F51" i="1"/>
  <c r="F52" i="1"/>
  <c r="F46" i="1"/>
  <c r="F39" i="1"/>
  <c r="F40" i="1"/>
  <c r="F41" i="1"/>
  <c r="F42" i="1"/>
  <c r="F43" i="1"/>
  <c r="F44" i="1"/>
  <c r="F45" i="1"/>
  <c r="F33" i="1"/>
  <c r="F34" i="1"/>
  <c r="F35" i="1"/>
  <c r="F36" i="1"/>
  <c r="F37" i="1"/>
  <c r="F38" i="1"/>
  <c r="F29" i="1"/>
  <c r="F30" i="1"/>
  <c r="F31" i="1"/>
  <c r="F32" i="1"/>
  <c r="F26" i="1"/>
  <c r="F27" i="1"/>
  <c r="F28" i="1"/>
  <c r="F25" i="1"/>
  <c r="F21" i="1"/>
  <c r="F22" i="1"/>
  <c r="F23" i="1"/>
  <c r="F24" i="1"/>
  <c r="F18" i="1"/>
  <c r="F19" i="1"/>
  <c r="F20" i="1"/>
  <c r="F16" i="1"/>
  <c r="F17" i="1"/>
  <c r="F14" i="1"/>
  <c r="F15" i="1"/>
  <c r="F13" i="1"/>
  <c r="F12" i="1"/>
  <c r="F10" i="1"/>
  <c r="F11" i="1"/>
  <c r="F9" i="1"/>
  <c r="F8" i="1"/>
  <c r="F7" i="1"/>
  <c r="F6" i="1"/>
  <c r="F5" i="1"/>
  <c r="F4" i="1"/>
  <c r="F3"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53" i="1"/>
  <c r="G114" i="2" l="1"/>
</calcChain>
</file>

<file path=xl/sharedStrings.xml><?xml version="1.0" encoding="utf-8"?>
<sst xmlns="http://schemas.openxmlformats.org/spreadsheetml/2006/main" count="430" uniqueCount="152">
  <si>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</si>
  <si>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</si>
  <si>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</si>
  <si>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</si>
  <si>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</si>
  <si>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</si>
  <si>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</si>
  <si>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</si>
  <si>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</si>
  <si>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</si>
  <si>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</si>
  <si>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</si>
  <si>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</si>
  <si>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</si>
  <si>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</si>
  <si>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</si>
  <si>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</si>
  <si>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</si>
  <si>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</si>
  <si>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</si>
  <si>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</si>
  <si>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</si>
  <si>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</si>
  <si>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</si>
  <si>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</si>
  <si>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</si>
  <si>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</si>
  <si>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</si>
  <si>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</si>
  <si>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</si>
  <si>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</si>
  <si>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</si>
  <si>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</si>
  <si>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</si>
  <si>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</si>
  <si>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</si>
  <si>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</si>
  <si>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</si>
  <si>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</si>
  <si>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</si>
  <si>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</si>
  <si>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</si>
  <si>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</si>
  <si>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</si>
  <si>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</si>
  <si>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</si>
  <si>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</si>
  <si>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</si>
  <si>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</si>
  <si>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</si>
  <si>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</si>
  <si>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</si>
  <si>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</si>
  <si>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</si>
  <si>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</si>
  <si>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</si>
  <si>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</si>
  <si>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</si>
  <si>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</si>
  <si>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</si>
  <si>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</si>
  <si>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</si>
  <si>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</si>
  <si>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</si>
  <si>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</si>
  <si>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</si>
  <si>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</si>
  <si>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</si>
  <si>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</si>
  <si>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</si>
  <si>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</si>
  <si>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</si>
  <si>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</si>
  <si>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</si>
  <si>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</si>
  <si>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</si>
  <si>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</si>
  <si>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</si>
  <si>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</si>
  <si>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</si>
  <si>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</si>
  <si>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</si>
  <si>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</si>
  <si>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</si>
  <si>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</si>
  <si>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</si>
  <si>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</si>
  <si>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</si>
  <si>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</si>
  <si>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</si>
  <si>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</si>
  <si>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</si>
  <si>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</si>
  <si>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</si>
  <si>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</si>
  <si>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</si>
  <si>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</si>
  <si>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</si>
  <si>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</si>
  <si>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</si>
  <si>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</si>
  <si>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</si>
  <si>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</si>
  <si>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</si>
  <si>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</si>
  <si>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</si>
  <si>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</si>
  <si>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</si>
  <si>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</si>
  <si>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</si>
  <si>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</si>
  <si>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</si>
  <si>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</si>
  <si>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Old price</t>
  </si>
  <si>
    <t>Ratings</t>
  </si>
  <si>
    <t xml:space="preserve"> 1,620 -  1,980</t>
  </si>
  <si>
    <t xml:space="preserve"> 2,200 -  3,200</t>
  </si>
  <si>
    <t>Total Discount</t>
  </si>
  <si>
    <t>Rating Category</t>
  </si>
  <si>
    <t>Discount Band</t>
  </si>
  <si>
    <t>Row Labels</t>
  </si>
  <si>
    <t>Grand Total</t>
  </si>
  <si>
    <t>Sum of Current price</t>
  </si>
  <si>
    <t>Average</t>
  </si>
  <si>
    <t>Excellent</t>
  </si>
  <si>
    <t>Good</t>
  </si>
  <si>
    <t>Poor</t>
  </si>
  <si>
    <t>High Discount</t>
  </si>
  <si>
    <t>Low Discount</t>
  </si>
  <si>
    <t>Medium Discount</t>
  </si>
  <si>
    <t>Average of Discount</t>
  </si>
  <si>
    <t>Average of Ratings</t>
  </si>
  <si>
    <t>Sum of Total Discount</t>
  </si>
  <si>
    <t>Sum of Review</t>
  </si>
  <si>
    <t>Product Category</t>
  </si>
  <si>
    <t>Home Appliances</t>
  </si>
  <si>
    <t>Arts, Crafts &amp; Sewing</t>
  </si>
  <si>
    <t>Tools &amp; Hardware</t>
  </si>
  <si>
    <t>Bathroom Accessories</t>
  </si>
  <si>
    <t>Automotive Accessories</t>
  </si>
  <si>
    <t>Lighting &amp; Solar Products</t>
  </si>
  <si>
    <t>Furniture &amp; Storage</t>
  </si>
  <si>
    <t>Home Decor &amp; Furnishings</t>
  </si>
  <si>
    <t>Kitchen &amp; Dining</t>
  </si>
  <si>
    <t>Office &amp; Study Supplies</t>
  </si>
  <si>
    <t>Health &amp; Personal Care</t>
  </si>
  <si>
    <t>Travel &amp; Outdoor</t>
  </si>
  <si>
    <t>Cleaning &amp; Household Utilities</t>
  </si>
  <si>
    <t>Baby &amp; Kids Products</t>
  </si>
  <si>
    <t>Safety &amp; Protective Equipment</t>
  </si>
  <si>
    <t>Sports &amp; Fitness</t>
  </si>
  <si>
    <t>Fashion &amp;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</si>
</sst>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mbria"/>
      <family val="1"/>
    </font>
    <font>
      <sz val="14"/>
      <color rgb="FF595959"/>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2" fontId="16" fillId="0" borderId="0" xfId="0" applyNumberFormat="1" applyFont="1"/>
    <xf numFmtId="2" fontId="0" fillId="0" borderId="0" xfId="0" applyNumberFormat="1"/>
    <xf numFmtId="9" fontId="16" fillId="0" borderId="0" xfId="0" applyNumberFormat="1" applyFont="1"/>
    <xf numFmtId="164" fontId="16" fillId="0" borderId="0" xfId="0" applyNumberFormat="1" applyFont="1"/>
    <xf numFmtId="164" fontId="0" fillId="0" borderId="0" xfId="0" applyNumberFormat="1"/>
    <xf numFmtId="1" fontId="0" fillId="0" borderId="0" xfId="0" applyNumberFormat="1"/>
    <xf numFmtId="1" fontId="16" fillId="0" borderId="0" xfId="0" applyNumberFormat="1" applyFont="1"/>
    <xf numFmtId="0" fontId="0" fillId="0" borderId="0" xfId="0" pivotButton="1"/>
    <xf numFmtId="0" fontId="0" fillId="0" borderId="0" xfId="0" applyAlignment="1">
      <alignment horizontal="left"/>
    </xf>
    <xf numFmtId="0" fontId="0" fillId="33" borderId="0" xfId="0" applyFill="1"/>
    <xf numFmtId="0" fontId="18" fillId="0" borderId="0" xfId="0" applyFont="1" applyAlignment="1">
      <alignment vertical="center" wrapText="1"/>
    </xf>
    <xf numFmtId="0" fontId="0" fillId="0" borderId="0" xfId="0" applyNumberFormat="1"/>
    <xf numFmtId="0" fontId="19" fillId="0" borderId="0" xfId="0" applyFont="1" applyAlignment="1">
      <alignment horizontal="center" vertical="center"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0.0"/>
    </dxf>
    <dxf>
      <numFmt numFmtId="164" formatCode="0.0"/>
    </dxf>
    <dxf>
      <numFmt numFmtId="1" formatCode="0"/>
    </dxf>
    <dxf>
      <numFmt numFmtId="1" formatCode="0"/>
    </dxf>
    <dxf>
      <numFmt numFmtId="2" formatCode="0.00"/>
    </dxf>
    <dxf>
      <numFmt numFmtId="2" formatCode="0.0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Categories by Average Ratings</a:t>
            </a:r>
            <a:endParaRPr lang="en-US"/>
          </a:p>
        </c:rich>
      </c:tx>
      <c:layout>
        <c:manualLayout>
          <c:xMode val="edge"/>
          <c:yMode val="edge"/>
          <c:x val="0.22334614046738133"/>
          <c:y val="8.4166052984384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Pivots!$B$41</c:f>
              <c:strCache>
                <c:ptCount val="1"/>
                <c:pt idx="0">
                  <c:v>Total</c:v>
                </c:pt>
              </c:strCache>
            </c:strRef>
          </c:tx>
          <c:spPr>
            <a:solidFill>
              <a:schemeClr val="accent2"/>
            </a:solidFill>
            <a:ln>
              <a:noFill/>
            </a:ln>
            <a:effectLst/>
          </c:spPr>
          <c:invertIfNegative val="0"/>
          <c:cat>
            <c:strRef>
              <c:f>Pivots!$A$42:$A$52</c:f>
              <c:strCache>
                <c:ptCount val="10"/>
                <c:pt idx="0">
                  <c:v>Office &amp; Study Supplies</c:v>
                </c:pt>
                <c:pt idx="1">
                  <c:v>Automotive Accessories</c:v>
                </c:pt>
                <c:pt idx="2">
                  <c:v>Arts, Crafts &amp; Sewing</c:v>
                </c:pt>
                <c:pt idx="3">
                  <c:v>Furniture &amp; Storage</c:v>
                </c:pt>
                <c:pt idx="4">
                  <c:v>Tools &amp; Hardware</c:v>
                </c:pt>
                <c:pt idx="5">
                  <c:v>Health &amp; Personal Care</c:v>
                </c:pt>
                <c:pt idx="6">
                  <c:v>Home Decor &amp; Furnishings</c:v>
                </c:pt>
                <c:pt idx="7">
                  <c:v>Kitchen &amp; Dining</c:v>
                </c:pt>
                <c:pt idx="8">
                  <c:v>Bathroom Accessories</c:v>
                </c:pt>
                <c:pt idx="9">
                  <c:v>Home Appliances</c:v>
                </c:pt>
              </c:strCache>
            </c:strRef>
          </c:cat>
          <c:val>
            <c:numRef>
              <c:f>Pivots!$B$42:$B$52</c:f>
              <c:numCache>
                <c:formatCode>General</c:formatCode>
                <c:ptCount val="10"/>
                <c:pt idx="0">
                  <c:v>4.6500000000000004</c:v>
                </c:pt>
                <c:pt idx="1">
                  <c:v>4.5999999999999996</c:v>
                </c:pt>
                <c:pt idx="2">
                  <c:v>4.3166666666666673</c:v>
                </c:pt>
                <c:pt idx="3">
                  <c:v>4.2166666666666668</c:v>
                </c:pt>
                <c:pt idx="4">
                  <c:v>4.1500000000000004</c:v>
                </c:pt>
                <c:pt idx="5">
                  <c:v>4.125</c:v>
                </c:pt>
                <c:pt idx="6">
                  <c:v>4.0555555555555554</c:v>
                </c:pt>
                <c:pt idx="7">
                  <c:v>3.6833333333333336</c:v>
                </c:pt>
                <c:pt idx="8">
                  <c:v>3.6249999999999996</c:v>
                </c:pt>
                <c:pt idx="9">
                  <c:v>3.4142857142857141</c:v>
                </c:pt>
              </c:numCache>
            </c:numRef>
          </c:val>
          <c:extLst>
            <c:ext xmlns:c16="http://schemas.microsoft.com/office/drawing/2014/chart" uri="{C3380CC4-5D6E-409C-BE32-E72D297353CC}">
              <c16:uniqueId val="{00000000-09B9-4BC6-A8BE-CDD5A9B88235}"/>
            </c:ext>
          </c:extLst>
        </c:ser>
        <c:dLbls>
          <c:showLegendKey val="0"/>
          <c:showVal val="0"/>
          <c:showCatName val="0"/>
          <c:showSerName val="0"/>
          <c:showPercent val="0"/>
          <c:showBubbleSize val="0"/>
        </c:dLbls>
        <c:gapWidth val="219"/>
        <c:overlap val="-27"/>
        <c:axId val="823590448"/>
        <c:axId val="823574128"/>
      </c:barChart>
      <c:catAx>
        <c:axId val="8235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74128"/>
        <c:crosses val="autoZero"/>
        <c:auto val="1"/>
        <c:lblAlgn val="ctr"/>
        <c:lblOffset val="100"/>
        <c:noMultiLvlLbl val="0"/>
      </c:catAx>
      <c:valAx>
        <c:axId val="82357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9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Discounts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Pivots!$B$75</c:f>
              <c:strCache>
                <c:ptCount val="1"/>
                <c:pt idx="0">
                  <c:v>Total</c:v>
                </c:pt>
              </c:strCache>
            </c:strRef>
          </c:tx>
          <c:spPr>
            <a:solidFill>
              <a:schemeClr val="accent2"/>
            </a:solidFill>
            <a:ln>
              <a:noFill/>
            </a:ln>
            <a:effectLst/>
          </c:spPr>
          <c:invertIfNegative val="0"/>
          <c:cat>
            <c:strRef>
              <c:f>Pivots!$A$76:$A$86</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LED Eye Protection  Desk Lamp , Study, Reading, USB Fan - Double Pen Holder</c:v>
                </c:pt>
                <c:pt idx="5">
                  <c:v>LASA FOLDING TABLE SERVING STAND</c:v>
                </c:pt>
                <c:pt idx="6">
                  <c:v>Electric LED UV Mosquito Killer Lamp, Outdoor/Indoor Fly Killer Trap Light -USB</c:v>
                </c:pt>
                <c:pt idx="7">
                  <c:v>13 In 1 Home Repair Tools Box Kit Set</c:v>
                </c:pt>
                <c:pt idx="8">
                  <c:v>DIY File Folder, Office Drawer File Holder, Pen Holder, Desktop Storage Rack</c:v>
                </c:pt>
                <c:pt idx="9">
                  <c:v>Memory Foam Neck Pillow Cover, With Pillow Core - 50*30cm</c:v>
                </c:pt>
              </c:strCache>
            </c:strRef>
          </c:cat>
          <c:val>
            <c:numRef>
              <c:f>Pivots!$B$76:$B$86</c:f>
              <c:numCache>
                <c:formatCode>0.00</c:formatCode>
                <c:ptCount val="10"/>
                <c:pt idx="0">
                  <c:v>2585</c:v>
                </c:pt>
                <c:pt idx="1">
                  <c:v>2452</c:v>
                </c:pt>
                <c:pt idx="2">
                  <c:v>2393</c:v>
                </c:pt>
                <c:pt idx="3">
                  <c:v>1946</c:v>
                </c:pt>
                <c:pt idx="4">
                  <c:v>1670</c:v>
                </c:pt>
                <c:pt idx="5">
                  <c:v>1526</c:v>
                </c:pt>
                <c:pt idx="6">
                  <c:v>1418</c:v>
                </c:pt>
                <c:pt idx="7">
                  <c:v>1329</c:v>
                </c:pt>
                <c:pt idx="8">
                  <c:v>1070</c:v>
                </c:pt>
                <c:pt idx="9">
                  <c:v>1010</c:v>
                </c:pt>
              </c:numCache>
            </c:numRef>
          </c:val>
          <c:extLst>
            <c:ext xmlns:c16="http://schemas.microsoft.com/office/drawing/2014/chart" uri="{C3380CC4-5D6E-409C-BE32-E72D297353CC}">
              <c16:uniqueId val="{00000000-1F45-450E-9A8A-495601DFE123}"/>
            </c:ext>
          </c:extLst>
        </c:ser>
        <c:dLbls>
          <c:showLegendKey val="0"/>
          <c:showVal val="0"/>
          <c:showCatName val="0"/>
          <c:showSerName val="0"/>
          <c:showPercent val="0"/>
          <c:showBubbleSize val="0"/>
        </c:dLbls>
        <c:gapWidth val="219"/>
        <c:overlap val="-27"/>
        <c:axId val="823600528"/>
        <c:axId val="823601008"/>
      </c:barChart>
      <c:catAx>
        <c:axId val="82360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01008"/>
        <c:crosses val="autoZero"/>
        <c:auto val="1"/>
        <c:lblAlgn val="ctr"/>
        <c:lblOffset val="100"/>
        <c:noMultiLvlLbl val="0"/>
      </c:catAx>
      <c:valAx>
        <c:axId val="823601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0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btn Dicounts and avg ratings</a:t>
            </a:r>
            <a:endParaRPr lang="en-US"/>
          </a:p>
        </c:rich>
      </c:tx>
      <c:layout>
        <c:manualLayout>
          <c:xMode val="edge"/>
          <c:yMode val="edge"/>
          <c:x val="0.14155931565539601"/>
          <c:y val="6.246214415505757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1"/>
            </a:solidFill>
            <a:ln>
              <a:noFill/>
            </a:ln>
            <a:effectLst/>
          </c:spPr>
          <c:invertIfNegative val="0"/>
          <c:cat>
            <c:strRef>
              <c:f>Pivots!$A$16:$A$19</c:f>
              <c:strCache>
                <c:ptCount val="3"/>
                <c:pt idx="0">
                  <c:v>High Discount</c:v>
                </c:pt>
                <c:pt idx="1">
                  <c:v>Low Discount</c:v>
                </c:pt>
                <c:pt idx="2">
                  <c:v>Medium Discount</c:v>
                </c:pt>
              </c:strCache>
            </c:strRef>
          </c:cat>
          <c:val>
            <c:numRef>
              <c:f>Pivots!$B$16:$B$19</c:f>
              <c:numCache>
                <c:formatCode>General</c:formatCode>
                <c:ptCount val="3"/>
                <c:pt idx="0">
                  <c:v>3.6133333333333328</c:v>
                </c:pt>
                <c:pt idx="1">
                  <c:v>3.7250000000000001</c:v>
                </c:pt>
                <c:pt idx="2">
                  <c:v>4.2782608695652167</c:v>
                </c:pt>
              </c:numCache>
            </c:numRef>
          </c:val>
          <c:extLst>
            <c:ext xmlns:c16="http://schemas.microsoft.com/office/drawing/2014/chart" uri="{C3380CC4-5D6E-409C-BE32-E72D297353CC}">
              <c16:uniqueId val="{00000000-61E3-4E10-BB21-ADFB8DEC04FC}"/>
            </c:ext>
          </c:extLst>
        </c:ser>
        <c:dLbls>
          <c:showLegendKey val="0"/>
          <c:showVal val="0"/>
          <c:showCatName val="0"/>
          <c:showSerName val="0"/>
          <c:showPercent val="0"/>
          <c:showBubbleSize val="0"/>
        </c:dLbls>
        <c:gapWidth val="182"/>
        <c:axId val="534748960"/>
        <c:axId val="534733120"/>
      </c:barChart>
      <c:catAx>
        <c:axId val="53474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3120"/>
        <c:crosses val="autoZero"/>
        <c:auto val="1"/>
        <c:lblAlgn val="ctr"/>
        <c:lblOffset val="100"/>
        <c:noMultiLvlLbl val="0"/>
      </c:catAx>
      <c:valAx>
        <c:axId val="53473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4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btn discounts and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Pivots!$B$23</c:f>
              <c:strCache>
                <c:ptCount val="1"/>
                <c:pt idx="0">
                  <c:v>Total</c:v>
                </c:pt>
              </c:strCache>
            </c:strRef>
          </c:tx>
          <c:spPr>
            <a:solidFill>
              <a:schemeClr val="accent1"/>
            </a:solidFill>
            <a:ln>
              <a:noFill/>
            </a:ln>
            <a:effectLst/>
          </c:spPr>
          <c:invertIfNegative val="0"/>
          <c:cat>
            <c:strRef>
              <c:f>Pivots!$A$24:$A$27</c:f>
              <c:strCache>
                <c:ptCount val="3"/>
                <c:pt idx="0">
                  <c:v>Low Discount</c:v>
                </c:pt>
                <c:pt idx="1">
                  <c:v>High Discount</c:v>
                </c:pt>
                <c:pt idx="2">
                  <c:v>Medium Discount</c:v>
                </c:pt>
              </c:strCache>
            </c:strRef>
          </c:cat>
          <c:val>
            <c:numRef>
              <c:f>Pivots!$B$24:$B$27</c:f>
              <c:numCache>
                <c:formatCode>General</c:formatCode>
                <c:ptCount val="3"/>
                <c:pt idx="0">
                  <c:v>38</c:v>
                </c:pt>
                <c:pt idx="1">
                  <c:v>334</c:v>
                </c:pt>
                <c:pt idx="2">
                  <c:v>351</c:v>
                </c:pt>
              </c:numCache>
            </c:numRef>
          </c:val>
          <c:extLst>
            <c:ext xmlns:c16="http://schemas.microsoft.com/office/drawing/2014/chart" uri="{C3380CC4-5D6E-409C-BE32-E72D297353CC}">
              <c16:uniqueId val="{00000000-20A2-42ED-B12C-AEB728A0DB94}"/>
            </c:ext>
          </c:extLst>
        </c:ser>
        <c:dLbls>
          <c:showLegendKey val="0"/>
          <c:showVal val="0"/>
          <c:showCatName val="0"/>
          <c:showSerName val="0"/>
          <c:showPercent val="0"/>
          <c:showBubbleSize val="0"/>
        </c:dLbls>
        <c:gapWidth val="150"/>
        <c:axId val="534739360"/>
        <c:axId val="534754240"/>
      </c:barChart>
      <c:catAx>
        <c:axId val="5347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54240"/>
        <c:crosses val="autoZero"/>
        <c:auto val="1"/>
        <c:lblAlgn val="ctr"/>
        <c:lblOffset val="100"/>
        <c:noMultiLvlLbl val="0"/>
      </c:catAx>
      <c:valAx>
        <c:axId val="534754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a:t>
            </a:r>
            <a:r>
              <a:rPr lang="en-US" baseline="0"/>
              <a:t>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Pivots!$B$32</c:f>
              <c:strCache>
                <c:ptCount val="1"/>
                <c:pt idx="0">
                  <c:v>Total</c:v>
                </c:pt>
              </c:strCache>
            </c:strRef>
          </c:tx>
          <c:spPr>
            <a:solidFill>
              <a:schemeClr val="accent2"/>
            </a:solidFill>
            <a:ln>
              <a:noFill/>
            </a:ln>
            <a:effectLst/>
          </c:spPr>
          <c:invertIfNegative val="0"/>
          <c:cat>
            <c:strRef>
              <c:f>Pivots!$A$33:$A$37</c:f>
              <c:strCache>
                <c:ptCount val="4"/>
                <c:pt idx="0">
                  <c:v>Excellent</c:v>
                </c:pt>
                <c:pt idx="1">
                  <c:v>Poor</c:v>
                </c:pt>
                <c:pt idx="2">
                  <c:v>Good</c:v>
                </c:pt>
                <c:pt idx="3">
                  <c:v>Average</c:v>
                </c:pt>
              </c:strCache>
            </c:strRef>
          </c:cat>
          <c:val>
            <c:numRef>
              <c:f>Pivots!$B$33:$B$37</c:f>
              <c:numCache>
                <c:formatCode>General</c:formatCode>
                <c:ptCount val="4"/>
                <c:pt idx="0">
                  <c:v>331</c:v>
                </c:pt>
                <c:pt idx="1">
                  <c:v>169</c:v>
                </c:pt>
                <c:pt idx="2">
                  <c:v>130</c:v>
                </c:pt>
                <c:pt idx="3">
                  <c:v>93</c:v>
                </c:pt>
              </c:numCache>
            </c:numRef>
          </c:val>
          <c:extLst>
            <c:ext xmlns:c16="http://schemas.microsoft.com/office/drawing/2014/chart" uri="{C3380CC4-5D6E-409C-BE32-E72D297353CC}">
              <c16:uniqueId val="{00000000-E5B9-4C65-9134-E440825BEA19}"/>
            </c:ext>
          </c:extLst>
        </c:ser>
        <c:dLbls>
          <c:showLegendKey val="0"/>
          <c:showVal val="0"/>
          <c:showCatName val="0"/>
          <c:showSerName val="0"/>
          <c:showPercent val="0"/>
          <c:showBubbleSize val="0"/>
        </c:dLbls>
        <c:gapWidth val="219"/>
        <c:overlap val="-27"/>
        <c:axId val="883543184"/>
        <c:axId val="883549424"/>
      </c:barChart>
      <c:catAx>
        <c:axId val="8835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9424"/>
        <c:crosses val="autoZero"/>
        <c:auto val="1"/>
        <c:lblAlgn val="ctr"/>
        <c:lblOffset val="100"/>
        <c:noMultiLvlLbl val="0"/>
      </c:catAx>
      <c:valAx>
        <c:axId val="88354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Total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Pivots!$A$114:$A$124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Pivots!$B$114:$B$124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CE9D-4C55-BB1C-A9B655A2DCB7}"/>
            </c:ext>
          </c:extLst>
        </c:ser>
        <c:dLbls>
          <c:dLblPos val="outEnd"/>
          <c:showLegendKey val="0"/>
          <c:showVal val="1"/>
          <c:showCatName val="0"/>
          <c:showSerName val="0"/>
          <c:showPercent val="0"/>
          <c:showBubbleSize val="0"/>
        </c:dLbls>
        <c:gapWidth val="219"/>
        <c:overlap val="-27"/>
        <c:axId val="1432489935"/>
        <c:axId val="1432490415"/>
      </c:barChart>
      <c:catAx>
        <c:axId val="143248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90415"/>
        <c:crosses val="autoZero"/>
        <c:auto val="1"/>
        <c:lblAlgn val="ctr"/>
        <c:lblOffset val="100"/>
        <c:noMultiLvlLbl val="0"/>
      </c:catAx>
      <c:valAx>
        <c:axId val="143249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8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Categories by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6153906065915"/>
          <c:y val="0.20158488919232687"/>
          <c:w val="0.80839750686922207"/>
          <c:h val="0.39138954928050473"/>
        </c:manualLayout>
      </c:layout>
      <c:barChart>
        <c:barDir val="col"/>
        <c:grouping val="clustered"/>
        <c:varyColors val="0"/>
        <c:ser>
          <c:idx val="0"/>
          <c:order val="0"/>
          <c:tx>
            <c:strRef>
              <c:f>Pivots!$B$41</c:f>
              <c:strCache>
                <c:ptCount val="1"/>
                <c:pt idx="0">
                  <c:v>Total</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Pivots!$A$42:$A$52</c:f>
              <c:strCache>
                <c:ptCount val="10"/>
                <c:pt idx="0">
                  <c:v>Office &amp; Study Supplies</c:v>
                </c:pt>
                <c:pt idx="1">
                  <c:v>Automotive Accessories</c:v>
                </c:pt>
                <c:pt idx="2">
                  <c:v>Arts, Crafts &amp; Sewing</c:v>
                </c:pt>
                <c:pt idx="3">
                  <c:v>Furniture &amp; Storage</c:v>
                </c:pt>
                <c:pt idx="4">
                  <c:v>Tools &amp; Hardware</c:v>
                </c:pt>
                <c:pt idx="5">
                  <c:v>Health &amp; Personal Care</c:v>
                </c:pt>
                <c:pt idx="6">
                  <c:v>Home Decor &amp; Furnishings</c:v>
                </c:pt>
                <c:pt idx="7">
                  <c:v>Kitchen &amp; Dining</c:v>
                </c:pt>
                <c:pt idx="8">
                  <c:v>Bathroom Accessories</c:v>
                </c:pt>
                <c:pt idx="9">
                  <c:v>Home Appliances</c:v>
                </c:pt>
              </c:strCache>
            </c:strRef>
          </c:cat>
          <c:val>
            <c:numRef>
              <c:f>Pivots!$B$42:$B$52</c:f>
              <c:numCache>
                <c:formatCode>General</c:formatCode>
                <c:ptCount val="10"/>
                <c:pt idx="0">
                  <c:v>4.6500000000000004</c:v>
                </c:pt>
                <c:pt idx="1">
                  <c:v>4.5999999999999996</c:v>
                </c:pt>
                <c:pt idx="2">
                  <c:v>4.3166666666666673</c:v>
                </c:pt>
                <c:pt idx="3">
                  <c:v>4.2166666666666668</c:v>
                </c:pt>
                <c:pt idx="4">
                  <c:v>4.1500000000000004</c:v>
                </c:pt>
                <c:pt idx="5">
                  <c:v>4.125</c:v>
                </c:pt>
                <c:pt idx="6">
                  <c:v>4.0555555555555554</c:v>
                </c:pt>
                <c:pt idx="7">
                  <c:v>3.6833333333333336</c:v>
                </c:pt>
                <c:pt idx="8">
                  <c:v>3.6249999999999996</c:v>
                </c:pt>
                <c:pt idx="9">
                  <c:v>3.4142857142857141</c:v>
                </c:pt>
              </c:numCache>
            </c:numRef>
          </c:val>
          <c:extLst>
            <c:ext xmlns:c16="http://schemas.microsoft.com/office/drawing/2014/chart" uri="{C3380CC4-5D6E-409C-BE32-E72D297353CC}">
              <c16:uniqueId val="{00000000-4B87-45E1-85B4-83DC6EC3ECB5}"/>
            </c:ext>
          </c:extLst>
        </c:ser>
        <c:dLbls>
          <c:dLblPos val="outEnd"/>
          <c:showLegendKey val="0"/>
          <c:showVal val="1"/>
          <c:showCatName val="0"/>
          <c:showSerName val="0"/>
          <c:showPercent val="0"/>
          <c:showBubbleSize val="0"/>
        </c:dLbls>
        <c:gapWidth val="219"/>
        <c:overlap val="-27"/>
        <c:axId val="823590448"/>
        <c:axId val="823574128"/>
      </c:barChart>
      <c:catAx>
        <c:axId val="8235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74128"/>
        <c:crosses val="autoZero"/>
        <c:auto val="1"/>
        <c:lblAlgn val="ctr"/>
        <c:lblOffset val="100"/>
        <c:noMultiLvlLbl val="0"/>
      </c:catAx>
      <c:valAx>
        <c:axId val="823574128"/>
        <c:scaling>
          <c:orientation val="minMax"/>
        </c:scaling>
        <c:delete val="1"/>
        <c:axPos val="l"/>
        <c:numFmt formatCode="General" sourceLinked="1"/>
        <c:majorTickMark val="none"/>
        <c:minorTickMark val="none"/>
        <c:tickLblPos val="nextTo"/>
        <c:crossAx val="82359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Discounts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Pivots!$B$75</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Pivots!$A$76:$A$86</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LED Eye Protection  Desk Lamp , Study, Reading, USB Fan - Double Pen Holder</c:v>
                </c:pt>
                <c:pt idx="5">
                  <c:v>LASA FOLDING TABLE SERVING STAND</c:v>
                </c:pt>
                <c:pt idx="6">
                  <c:v>Electric LED UV Mosquito Killer Lamp, Outdoor/Indoor Fly Killer Trap Light -USB</c:v>
                </c:pt>
                <c:pt idx="7">
                  <c:v>13 In 1 Home Repair Tools Box Kit Set</c:v>
                </c:pt>
                <c:pt idx="8">
                  <c:v>DIY File Folder, Office Drawer File Holder, Pen Holder, Desktop Storage Rack</c:v>
                </c:pt>
                <c:pt idx="9">
                  <c:v>Memory Foam Neck Pillow Cover, With Pillow Core - 50*30cm</c:v>
                </c:pt>
              </c:strCache>
            </c:strRef>
          </c:cat>
          <c:val>
            <c:numRef>
              <c:f>Pivots!$B$76:$B$86</c:f>
              <c:numCache>
                <c:formatCode>0.00</c:formatCode>
                <c:ptCount val="10"/>
                <c:pt idx="0">
                  <c:v>2585</c:v>
                </c:pt>
                <c:pt idx="1">
                  <c:v>2452</c:v>
                </c:pt>
                <c:pt idx="2">
                  <c:v>2393</c:v>
                </c:pt>
                <c:pt idx="3">
                  <c:v>1946</c:v>
                </c:pt>
                <c:pt idx="4">
                  <c:v>1670</c:v>
                </c:pt>
                <c:pt idx="5">
                  <c:v>1526</c:v>
                </c:pt>
                <c:pt idx="6">
                  <c:v>1418</c:v>
                </c:pt>
                <c:pt idx="7">
                  <c:v>1329</c:v>
                </c:pt>
                <c:pt idx="8">
                  <c:v>1070</c:v>
                </c:pt>
                <c:pt idx="9">
                  <c:v>1010</c:v>
                </c:pt>
              </c:numCache>
            </c:numRef>
          </c:val>
          <c:extLst>
            <c:ext xmlns:c16="http://schemas.microsoft.com/office/drawing/2014/chart" uri="{C3380CC4-5D6E-409C-BE32-E72D297353CC}">
              <c16:uniqueId val="{00000000-FFCA-4EAC-A383-2414114147CD}"/>
            </c:ext>
          </c:extLst>
        </c:ser>
        <c:dLbls>
          <c:dLblPos val="outEnd"/>
          <c:showLegendKey val="0"/>
          <c:showVal val="1"/>
          <c:showCatName val="0"/>
          <c:showSerName val="0"/>
          <c:showPercent val="0"/>
          <c:showBubbleSize val="0"/>
        </c:dLbls>
        <c:gapWidth val="219"/>
        <c:axId val="823600528"/>
        <c:axId val="823601008"/>
      </c:barChart>
      <c:catAx>
        <c:axId val="823600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01008"/>
        <c:crosses val="autoZero"/>
        <c:auto val="1"/>
        <c:lblAlgn val="ctr"/>
        <c:lblOffset val="100"/>
        <c:noMultiLvlLbl val="0"/>
      </c:catAx>
      <c:valAx>
        <c:axId val="823601008"/>
        <c:scaling>
          <c:orientation val="minMax"/>
        </c:scaling>
        <c:delete val="1"/>
        <c:axPos val="l"/>
        <c:numFmt formatCode="0.00" sourceLinked="1"/>
        <c:majorTickMark val="out"/>
        <c:minorTickMark val="none"/>
        <c:tickLblPos val="nextTo"/>
        <c:crossAx val="82360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Reviews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95561284927881"/>
          <c:y val="0.18123359973670405"/>
          <c:w val="0.74535514366013977"/>
          <c:h val="0.62082850492745012"/>
        </c:manualLayout>
      </c:layout>
      <c:barChart>
        <c:barDir val="bar"/>
        <c:grouping val="clustered"/>
        <c:varyColors val="0"/>
        <c:ser>
          <c:idx val="0"/>
          <c:order val="0"/>
          <c:tx>
            <c:strRef>
              <c:f>Pivots!$B$23</c:f>
              <c:strCache>
                <c:ptCount val="1"/>
                <c:pt idx="0">
                  <c:v>Total</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Pivots!$A$24:$A$27</c:f>
              <c:strCache>
                <c:ptCount val="3"/>
                <c:pt idx="0">
                  <c:v>Low Discount</c:v>
                </c:pt>
                <c:pt idx="1">
                  <c:v>High Discount</c:v>
                </c:pt>
                <c:pt idx="2">
                  <c:v>Medium Discount</c:v>
                </c:pt>
              </c:strCache>
            </c:strRef>
          </c:cat>
          <c:val>
            <c:numRef>
              <c:f>Pivots!$B$24:$B$27</c:f>
              <c:numCache>
                <c:formatCode>General</c:formatCode>
                <c:ptCount val="3"/>
                <c:pt idx="0">
                  <c:v>38</c:v>
                </c:pt>
                <c:pt idx="1">
                  <c:v>334</c:v>
                </c:pt>
                <c:pt idx="2">
                  <c:v>351</c:v>
                </c:pt>
              </c:numCache>
            </c:numRef>
          </c:val>
          <c:extLst>
            <c:ext xmlns:c16="http://schemas.microsoft.com/office/drawing/2014/chart" uri="{C3380CC4-5D6E-409C-BE32-E72D297353CC}">
              <c16:uniqueId val="{00000000-3845-42A8-8DFA-0C7AA75996A5}"/>
            </c:ext>
          </c:extLst>
        </c:ser>
        <c:dLbls>
          <c:dLblPos val="outEnd"/>
          <c:showLegendKey val="0"/>
          <c:showVal val="1"/>
          <c:showCatName val="0"/>
          <c:showSerName val="0"/>
          <c:showPercent val="0"/>
          <c:showBubbleSize val="0"/>
        </c:dLbls>
        <c:gapWidth val="150"/>
        <c:axId val="534739360"/>
        <c:axId val="534754240"/>
      </c:barChart>
      <c:catAx>
        <c:axId val="5347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54240"/>
        <c:crosses val="autoZero"/>
        <c:auto val="1"/>
        <c:lblAlgn val="ctr"/>
        <c:lblOffset val="100"/>
        <c:noMultiLvlLbl val="0"/>
      </c:catAx>
      <c:valAx>
        <c:axId val="534754240"/>
        <c:scaling>
          <c:orientation val="minMax"/>
        </c:scaling>
        <c:delete val="1"/>
        <c:axPos val="b"/>
        <c:numFmt formatCode="General" sourceLinked="1"/>
        <c:majorTickMark val="none"/>
        <c:minorTickMark val="none"/>
        <c:tickLblPos val="nextTo"/>
        <c:crossAx val="5347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Reviews by Rating Categories</a:t>
            </a:r>
            <a:endParaRPr lang="en-US"/>
          </a:p>
        </c:rich>
      </c:tx>
      <c:layout>
        <c:manualLayout>
          <c:xMode val="edge"/>
          <c:yMode val="edge"/>
          <c:x val="0.18318290123554196"/>
          <c:y val="4.7318611987381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Pivots!$A$33:$A$37</c:f>
              <c:strCache>
                <c:ptCount val="4"/>
                <c:pt idx="0">
                  <c:v>Excellent</c:v>
                </c:pt>
                <c:pt idx="1">
                  <c:v>Poor</c:v>
                </c:pt>
                <c:pt idx="2">
                  <c:v>Good</c:v>
                </c:pt>
                <c:pt idx="3">
                  <c:v>Average</c:v>
                </c:pt>
              </c:strCache>
            </c:strRef>
          </c:cat>
          <c:val>
            <c:numRef>
              <c:f>Pivots!$B$33:$B$37</c:f>
              <c:numCache>
                <c:formatCode>General</c:formatCode>
                <c:ptCount val="4"/>
                <c:pt idx="0">
                  <c:v>331</c:v>
                </c:pt>
                <c:pt idx="1">
                  <c:v>169</c:v>
                </c:pt>
                <c:pt idx="2">
                  <c:v>130</c:v>
                </c:pt>
                <c:pt idx="3">
                  <c:v>93</c:v>
                </c:pt>
              </c:numCache>
            </c:numRef>
          </c:val>
          <c:extLst>
            <c:ext xmlns:c16="http://schemas.microsoft.com/office/drawing/2014/chart" uri="{C3380CC4-5D6E-409C-BE32-E72D297353CC}">
              <c16:uniqueId val="{00000000-A4AE-492E-A9E5-94064F715CE6}"/>
            </c:ext>
          </c:extLst>
        </c:ser>
        <c:dLbls>
          <c:dLblPos val="outEnd"/>
          <c:showLegendKey val="0"/>
          <c:showVal val="1"/>
          <c:showCatName val="0"/>
          <c:showSerName val="0"/>
          <c:showPercent val="0"/>
          <c:showBubbleSize val="0"/>
        </c:dLbls>
        <c:gapWidth val="219"/>
        <c:overlap val="-27"/>
        <c:axId val="883543184"/>
        <c:axId val="883549424"/>
      </c:barChart>
      <c:catAx>
        <c:axId val="8835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9424"/>
        <c:crosses val="autoZero"/>
        <c:auto val="1"/>
        <c:lblAlgn val="ctr"/>
        <c:lblOffset val="100"/>
        <c:noMultiLvlLbl val="0"/>
      </c:catAx>
      <c:valAx>
        <c:axId val="883549424"/>
        <c:scaling>
          <c:orientation val="minMax"/>
        </c:scaling>
        <c:delete val="1"/>
        <c:axPos val="l"/>
        <c:numFmt formatCode="General" sourceLinked="1"/>
        <c:majorTickMark val="none"/>
        <c:minorTickMark val="none"/>
        <c:tickLblPos val="nextTo"/>
        <c:crossAx val="88354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Discounts on Average Product Ratings</a:t>
            </a:r>
            <a:endParaRPr lang="en-US"/>
          </a:p>
        </c:rich>
      </c:tx>
      <c:layout>
        <c:manualLayout>
          <c:xMode val="edge"/>
          <c:yMode val="edge"/>
          <c:x val="0.14155931565539601"/>
          <c:y val="6.246214415505757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Pivots!$A$16:$A$19</c:f>
              <c:strCache>
                <c:ptCount val="3"/>
                <c:pt idx="0">
                  <c:v>High Discount</c:v>
                </c:pt>
                <c:pt idx="1">
                  <c:v>Low Discount</c:v>
                </c:pt>
                <c:pt idx="2">
                  <c:v>Medium Discount</c:v>
                </c:pt>
              </c:strCache>
            </c:strRef>
          </c:cat>
          <c:val>
            <c:numRef>
              <c:f>Pivots!$B$16:$B$19</c:f>
              <c:numCache>
                <c:formatCode>General</c:formatCode>
                <c:ptCount val="3"/>
                <c:pt idx="0">
                  <c:v>3.6133333333333328</c:v>
                </c:pt>
                <c:pt idx="1">
                  <c:v>3.7250000000000001</c:v>
                </c:pt>
                <c:pt idx="2">
                  <c:v>4.2782608695652167</c:v>
                </c:pt>
              </c:numCache>
            </c:numRef>
          </c:val>
          <c:extLst>
            <c:ext xmlns:c16="http://schemas.microsoft.com/office/drawing/2014/chart" uri="{C3380CC4-5D6E-409C-BE32-E72D297353CC}">
              <c16:uniqueId val="{00000000-0651-4FD2-8A18-038B4C8BCE63}"/>
            </c:ext>
          </c:extLst>
        </c:ser>
        <c:dLbls>
          <c:dLblPos val="outEnd"/>
          <c:showLegendKey val="0"/>
          <c:showVal val="1"/>
          <c:showCatName val="0"/>
          <c:showSerName val="0"/>
          <c:showPercent val="0"/>
          <c:showBubbleSize val="0"/>
        </c:dLbls>
        <c:gapWidth val="182"/>
        <c:axId val="534748960"/>
        <c:axId val="534733120"/>
      </c:barChart>
      <c:catAx>
        <c:axId val="53474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3120"/>
        <c:crosses val="autoZero"/>
        <c:auto val="1"/>
        <c:lblAlgn val="ctr"/>
        <c:lblOffset val="100"/>
        <c:noMultiLvlLbl val="0"/>
      </c:catAx>
      <c:valAx>
        <c:axId val="534733120"/>
        <c:scaling>
          <c:orientation val="minMax"/>
        </c:scaling>
        <c:delete val="1"/>
        <c:axPos val="b"/>
        <c:numFmt formatCode="General" sourceLinked="1"/>
        <c:majorTickMark val="none"/>
        <c:minorTickMark val="none"/>
        <c:tickLblPos val="nextTo"/>
        <c:crossAx val="53474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Assignment.xlsx]Pivots!PivotTable4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Total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31840551181122E-2"/>
          <c:y val="0.15141241507946368"/>
          <c:w val="0.83019709645669293"/>
          <c:h val="0.47576054594567235"/>
        </c:manualLayout>
      </c:layout>
      <c:barChart>
        <c:barDir val="col"/>
        <c:grouping val="clustered"/>
        <c:varyColors val="0"/>
        <c:ser>
          <c:idx val="0"/>
          <c:order val="0"/>
          <c:tx>
            <c:strRef>
              <c:f>Pivots!$B$113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Pivots!$A$114:$A$124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Pivots!$B$114:$B$124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8781-417E-BD4B-B1298466F75E}"/>
            </c:ext>
          </c:extLst>
        </c:ser>
        <c:dLbls>
          <c:dLblPos val="outEnd"/>
          <c:showLegendKey val="0"/>
          <c:showVal val="1"/>
          <c:showCatName val="0"/>
          <c:showSerName val="0"/>
          <c:showPercent val="0"/>
          <c:showBubbleSize val="0"/>
        </c:dLbls>
        <c:gapWidth val="219"/>
        <c:overlap val="-27"/>
        <c:axId val="1432489935"/>
        <c:axId val="1432490415"/>
      </c:barChart>
      <c:catAx>
        <c:axId val="1432489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90415"/>
        <c:crosses val="autoZero"/>
        <c:auto val="1"/>
        <c:lblAlgn val="ctr"/>
        <c:lblOffset val="100"/>
        <c:noMultiLvlLbl val="0"/>
      </c:catAx>
      <c:valAx>
        <c:axId val="1432490415"/>
        <c:scaling>
          <c:orientation val="minMax"/>
        </c:scaling>
        <c:delete val="1"/>
        <c:axPos val="l"/>
        <c:numFmt formatCode="General" sourceLinked="1"/>
        <c:majorTickMark val="out"/>
        <c:minorTickMark val="none"/>
        <c:tickLblPos val="nextTo"/>
        <c:crossAx val="143248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60960</xdr:colOff>
      <xdr:row>40</xdr:row>
      <xdr:rowOff>121920</xdr:rowOff>
    </xdr:from>
    <xdr:to>
      <xdr:col>10</xdr:col>
      <xdr:colOff>510540</xdr:colOff>
      <xdr:row>56</xdr:row>
      <xdr:rowOff>137160</xdr:rowOff>
    </xdr:to>
    <xdr:graphicFrame macro="">
      <xdr:nvGraphicFramePr>
        <xdr:cNvPr id="3" name="Chart 2">
          <a:extLst>
            <a:ext uri="{FF2B5EF4-FFF2-40B4-BE49-F238E27FC236}">
              <a16:creationId xmlns:a16="http://schemas.microsoft.com/office/drawing/2014/main" id="{891D208F-AE2A-9DF9-9CA0-ACECE7EF3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72</xdr:row>
      <xdr:rowOff>129540</xdr:rowOff>
    </xdr:from>
    <xdr:to>
      <xdr:col>10</xdr:col>
      <xdr:colOff>205740</xdr:colOff>
      <xdr:row>87</xdr:row>
      <xdr:rowOff>0</xdr:rowOff>
    </xdr:to>
    <xdr:graphicFrame macro="">
      <xdr:nvGraphicFramePr>
        <xdr:cNvPr id="5" name="Chart 4">
          <a:extLst>
            <a:ext uri="{FF2B5EF4-FFF2-40B4-BE49-F238E27FC236}">
              <a16:creationId xmlns:a16="http://schemas.microsoft.com/office/drawing/2014/main" id="{9C7EC1FC-0F92-20BF-B9AD-1CF084E3D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617220</xdr:colOff>
      <xdr:row>0</xdr:row>
      <xdr:rowOff>0</xdr:rowOff>
    </xdr:from>
    <xdr:to>
      <xdr:col>10</xdr:col>
      <xdr:colOff>60960</xdr:colOff>
      <xdr:row>8</xdr:row>
      <xdr:rowOff>121920</xdr:rowOff>
    </xdr:to>
    <xdr:graphicFrame macro="">
      <xdr:nvGraphicFramePr>
        <xdr:cNvPr id="6" name="Chart 5">
          <a:extLst>
            <a:ext uri="{FF2B5EF4-FFF2-40B4-BE49-F238E27FC236}">
              <a16:creationId xmlns:a16="http://schemas.microsoft.com/office/drawing/2014/main" id="{FD78CA8C-8178-45DA-AE94-9D777A146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457200</xdr:colOff>
      <xdr:row>10</xdr:row>
      <xdr:rowOff>60960</xdr:rowOff>
    </xdr:from>
    <xdr:to>
      <xdr:col>10</xdr:col>
      <xdr:colOff>129540</xdr:colOff>
      <xdr:row>21</xdr:row>
      <xdr:rowOff>68580</xdr:rowOff>
    </xdr:to>
    <xdr:graphicFrame macro="">
      <xdr:nvGraphicFramePr>
        <xdr:cNvPr id="7" name="Chart 6">
          <a:extLst>
            <a:ext uri="{FF2B5EF4-FFF2-40B4-BE49-F238E27FC236}">
              <a16:creationId xmlns:a16="http://schemas.microsoft.com/office/drawing/2014/main" id="{8124A917-7874-28EF-B547-CACAE75DF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175260</xdr:colOff>
      <xdr:row>27</xdr:row>
      <xdr:rowOff>167640</xdr:rowOff>
    </xdr:from>
    <xdr:to>
      <xdr:col>10</xdr:col>
      <xdr:colOff>30480</xdr:colOff>
      <xdr:row>39</xdr:row>
      <xdr:rowOff>53340</xdr:rowOff>
    </xdr:to>
    <xdr:graphicFrame macro="">
      <xdr:nvGraphicFramePr>
        <xdr:cNvPr id="8" name="Chart 7">
          <a:extLst>
            <a:ext uri="{FF2B5EF4-FFF2-40B4-BE49-F238E27FC236}">
              <a16:creationId xmlns:a16="http://schemas.microsoft.com/office/drawing/2014/main" id="{A7AC3D91-5E33-B8CC-F990-54741A44C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441960</xdr:colOff>
      <xdr:row>15</xdr:row>
      <xdr:rowOff>114301</xdr:rowOff>
    </xdr:from>
    <xdr:to>
      <xdr:col>13</xdr:col>
      <xdr:colOff>441960</xdr:colOff>
      <xdr:row>22</xdr:row>
      <xdr:rowOff>175261</xdr:rowOff>
    </xdr:to>
    <mc:AlternateContent xmlns:mc="http://schemas.openxmlformats.org/markup-compatibility/2006" xmlns:a14="http://schemas.microsoft.com/office/drawing/2010/main">
      <mc:Choice Requires="a14">
        <xdr:graphicFrame macro="">
          <xdr:nvGraphicFramePr>
            <xdr:cNvPr id="9" name="Discount Band">
              <a:extLst>
                <a:ext uri="{FF2B5EF4-FFF2-40B4-BE49-F238E27FC236}">
                  <a16:creationId xmlns:a16="http://schemas.microsoft.com/office/drawing/2014/main" id="{5B656A3B-A4DF-8D98-1B29-1B44806C6BF5}"/>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7002780" y="285750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441960</xdr:colOff>
      <xdr:row>24</xdr:row>
      <xdr:rowOff>7621</xdr:rowOff>
    </xdr:from>
    <xdr:to>
      <xdr:col>13</xdr:col>
      <xdr:colOff>441960</xdr:colOff>
      <xdr:row>31</xdr:row>
      <xdr:rowOff>99061</xdr:rowOff>
    </xdr:to>
    <mc:AlternateContent xmlns:mc="http://schemas.openxmlformats.org/markup-compatibility/2006" xmlns:a14="http://schemas.microsoft.com/office/drawing/2010/main">
      <mc:Choice Requires="a14">
        <xdr:graphicFrame macro="">
          <xdr:nvGraphicFramePr>
            <xdr:cNvPr id="10" name="Rating Category">
              <a:extLst>
                <a:ext uri="{FF2B5EF4-FFF2-40B4-BE49-F238E27FC236}">
                  <a16:creationId xmlns:a16="http://schemas.microsoft.com/office/drawing/2014/main" id="{EC879B63-E567-E749-9691-5798511B622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7002780" y="439674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70</xdr:row>
      <xdr:rowOff>38100</xdr:rowOff>
    </xdr:from>
    <xdr:to>
      <xdr:col>14</xdr:col>
      <xdr:colOff>152400</xdr:colOff>
      <xdr:row>83</xdr:row>
      <xdr:rowOff>127635</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AF9C9748-941C-51F1-6095-311E7C13DA2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366760" y="12839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346710</xdr:colOff>
      <xdr:row>110</xdr:row>
      <xdr:rowOff>114300</xdr:rowOff>
    </xdr:from>
    <xdr:to>
      <xdr:col>10</xdr:col>
      <xdr:colOff>34290</xdr:colOff>
      <xdr:row>125</xdr:row>
      <xdr:rowOff>114300</xdr:rowOff>
    </xdr:to>
    <xdr:graphicFrame macro="">
      <xdr:nvGraphicFramePr>
        <xdr:cNvPr id="12" name="Chart 11">
          <a:extLst>
            <a:ext uri="{FF2B5EF4-FFF2-40B4-BE49-F238E27FC236}">
              <a16:creationId xmlns:a16="http://schemas.microsoft.com/office/drawing/2014/main" id="{FB2F42BB-EECC-DD35-0854-32B423683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22</xdr:col>
      <xdr:colOff>571500</xdr:colOff>
      <xdr:row>4</xdr:row>
      <xdr:rowOff>68580</xdr:rowOff>
    </xdr:to>
    <xdr:sp macro="" textlink="">
      <xdr:nvSpPr>
        <xdr:cNvPr id="2" name="Rectangle: Rounded Corners 1">
          <a:extLst>
            <a:ext uri="{FF2B5EF4-FFF2-40B4-BE49-F238E27FC236}">
              <a16:creationId xmlns:a16="http://schemas.microsoft.com/office/drawing/2014/main" id="{E24ABA96-74C7-83B3-E20E-C853BE74CD58}"/>
            </a:ext>
          </a:extLst>
        </xdr:cNvPr>
        <xdr:cNvSpPr/>
      </xdr:nvSpPr>
      <xdr:spPr>
        <a:xfrm>
          <a:off x="38100" y="76200"/>
          <a:ext cx="13944600" cy="7239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3600">
              <a:solidFill>
                <a:schemeClr val="accent2"/>
              </a:solidFill>
            </a:rPr>
            <a:t>JUMIA</a:t>
          </a:r>
          <a:r>
            <a:rPr lang="en-US" sz="3600" baseline="0">
              <a:solidFill>
                <a:schemeClr val="accent2"/>
              </a:solidFill>
            </a:rPr>
            <a:t> PRODUCTS ANALYSIS </a:t>
          </a:r>
          <a:endParaRPr lang="en-US" sz="3600">
            <a:solidFill>
              <a:schemeClr val="accent2"/>
            </a:solidFill>
          </a:endParaRPr>
        </a:p>
      </xdr:txBody>
    </xdr:sp>
    <xdr:clientData/>
  </xdr:twoCellAnchor>
  <xdr:twoCellAnchor>
    <xdr:from>
      <xdr:col>1</xdr:col>
      <xdr:colOff>203835</xdr:colOff>
      <xdr:row>4</xdr:row>
      <xdr:rowOff>112395</xdr:rowOff>
    </xdr:from>
    <xdr:to>
      <xdr:col>5</xdr:col>
      <xdr:colOff>318135</xdr:colOff>
      <xdr:row>8</xdr:row>
      <xdr:rowOff>5715</xdr:rowOff>
    </xdr:to>
    <xdr:sp macro="" textlink="">
      <xdr:nvSpPr>
        <xdr:cNvPr id="3" name="Rectangle: Rounded Corners 2">
          <a:extLst>
            <a:ext uri="{FF2B5EF4-FFF2-40B4-BE49-F238E27FC236}">
              <a16:creationId xmlns:a16="http://schemas.microsoft.com/office/drawing/2014/main" id="{BC73567E-2756-9E06-B77D-8DD6D6F389A3}"/>
            </a:ext>
          </a:extLst>
        </xdr:cNvPr>
        <xdr:cNvSpPr/>
      </xdr:nvSpPr>
      <xdr:spPr>
        <a:xfrm>
          <a:off x="813435" y="836295"/>
          <a:ext cx="2552700" cy="61722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400" b="1"/>
            <a:t> Total Number</a:t>
          </a:r>
          <a:r>
            <a:rPr lang="en-US" sz="1400" b="1" baseline="0"/>
            <a:t> of Products </a:t>
          </a:r>
        </a:p>
        <a:p>
          <a:pPr algn="ctr"/>
          <a:r>
            <a:rPr lang="en-US" sz="1400" b="1"/>
            <a:t>112</a:t>
          </a:r>
        </a:p>
      </xdr:txBody>
    </xdr:sp>
    <xdr:clientData/>
  </xdr:twoCellAnchor>
  <xdr:twoCellAnchor>
    <xdr:from>
      <xdr:col>6</xdr:col>
      <xdr:colOff>512445</xdr:colOff>
      <xdr:row>4</xdr:row>
      <xdr:rowOff>137160</xdr:rowOff>
    </xdr:from>
    <xdr:to>
      <xdr:col>11</xdr:col>
      <xdr:colOff>40005</xdr:colOff>
      <xdr:row>8</xdr:row>
      <xdr:rowOff>0</xdr:rowOff>
    </xdr:to>
    <xdr:sp macro="" textlink="">
      <xdr:nvSpPr>
        <xdr:cNvPr id="4" name="Rectangle: Rounded Corners 3">
          <a:extLst>
            <a:ext uri="{FF2B5EF4-FFF2-40B4-BE49-F238E27FC236}">
              <a16:creationId xmlns:a16="http://schemas.microsoft.com/office/drawing/2014/main" id="{CA73AF78-5A11-36FD-BF68-4ADF6C56485B}"/>
            </a:ext>
          </a:extLst>
        </xdr:cNvPr>
        <xdr:cNvSpPr/>
      </xdr:nvSpPr>
      <xdr:spPr>
        <a:xfrm>
          <a:off x="4170045" y="861060"/>
          <a:ext cx="2575560" cy="58674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400" b="1"/>
            <a:t>Average Discount </a:t>
          </a:r>
          <a:br>
            <a:rPr lang="en-US" sz="1400" b="1"/>
          </a:br>
          <a:r>
            <a:rPr lang="en-US" sz="1400" b="1" i="0" u="none" strike="noStrike">
              <a:solidFill>
                <a:sysClr val="windowText" lastClr="000000"/>
              </a:solidFill>
              <a:effectLst/>
              <a:latin typeface="+mn-lt"/>
              <a:ea typeface="+mn-ea"/>
              <a:cs typeface="+mn-cs"/>
            </a:rPr>
            <a:t>37%</a:t>
          </a:r>
          <a:r>
            <a:rPr lang="en-US" sz="1400" b="1">
              <a:solidFill>
                <a:sysClr val="windowText" lastClr="000000"/>
              </a:solidFill>
              <a:effectLst/>
            </a:rPr>
            <a:t> </a:t>
          </a:r>
          <a:endParaRPr lang="en-US" sz="1400" b="1">
            <a:solidFill>
              <a:sysClr val="windowText" lastClr="000000"/>
            </a:solidFill>
          </a:endParaRPr>
        </a:p>
      </xdr:txBody>
    </xdr:sp>
    <xdr:clientData/>
  </xdr:twoCellAnchor>
  <xdr:twoCellAnchor>
    <xdr:from>
      <xdr:col>12</xdr:col>
      <xdr:colOff>62865</xdr:colOff>
      <xdr:row>4</xdr:row>
      <xdr:rowOff>120015</xdr:rowOff>
    </xdr:from>
    <xdr:to>
      <xdr:col>16</xdr:col>
      <xdr:colOff>238125</xdr:colOff>
      <xdr:row>8</xdr:row>
      <xdr:rowOff>13335</xdr:rowOff>
    </xdr:to>
    <xdr:sp macro="" textlink="">
      <xdr:nvSpPr>
        <xdr:cNvPr id="5" name="Rectangle: Rounded Corners 4">
          <a:extLst>
            <a:ext uri="{FF2B5EF4-FFF2-40B4-BE49-F238E27FC236}">
              <a16:creationId xmlns:a16="http://schemas.microsoft.com/office/drawing/2014/main" id="{0656D7F2-8F7A-4732-8000-4BDE904C569D}"/>
            </a:ext>
          </a:extLst>
        </xdr:cNvPr>
        <xdr:cNvSpPr/>
      </xdr:nvSpPr>
      <xdr:spPr>
        <a:xfrm>
          <a:off x="7378065" y="843915"/>
          <a:ext cx="2613660" cy="61722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400" b="1"/>
            <a:t>Average Rating</a:t>
          </a:r>
        </a:p>
        <a:p>
          <a:pPr algn="ctr"/>
          <a:r>
            <a:rPr lang="en-US" sz="1400" b="1"/>
            <a:t>3.9</a:t>
          </a:r>
        </a:p>
      </xdr:txBody>
    </xdr:sp>
    <xdr:clientData/>
  </xdr:twoCellAnchor>
  <xdr:twoCellAnchor>
    <xdr:from>
      <xdr:col>17</xdr:col>
      <xdr:colOff>474345</xdr:colOff>
      <xdr:row>4</xdr:row>
      <xdr:rowOff>118110</xdr:rowOff>
    </xdr:from>
    <xdr:to>
      <xdr:col>22</xdr:col>
      <xdr:colOff>139065</xdr:colOff>
      <xdr:row>8</xdr:row>
      <xdr:rowOff>26670</xdr:rowOff>
    </xdr:to>
    <xdr:sp macro="" textlink="">
      <xdr:nvSpPr>
        <xdr:cNvPr id="7" name="Rectangle: Rounded Corners 6">
          <a:extLst>
            <a:ext uri="{FF2B5EF4-FFF2-40B4-BE49-F238E27FC236}">
              <a16:creationId xmlns:a16="http://schemas.microsoft.com/office/drawing/2014/main" id="{9BAC75D3-B1EC-4FE0-B12A-6CA5A0C420D7}"/>
            </a:ext>
          </a:extLst>
        </xdr:cNvPr>
        <xdr:cNvSpPr/>
      </xdr:nvSpPr>
      <xdr:spPr>
        <a:xfrm>
          <a:off x="10837545" y="842010"/>
          <a:ext cx="2712720" cy="63246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400" b="1"/>
            <a:t>Total Reviews</a:t>
          </a:r>
        </a:p>
        <a:p>
          <a:pPr algn="ctr"/>
          <a:r>
            <a:rPr lang="en-US" sz="1400" b="1" i="0" u="none" strike="noStrike">
              <a:solidFill>
                <a:sysClr val="windowText" lastClr="000000"/>
              </a:solidFill>
              <a:effectLst/>
              <a:latin typeface="+mn-lt"/>
              <a:ea typeface="+mn-ea"/>
              <a:cs typeface="+mn-cs"/>
            </a:rPr>
            <a:t>723</a:t>
          </a:r>
          <a:r>
            <a:rPr lang="en-US" sz="1400" b="1">
              <a:solidFill>
                <a:sysClr val="windowText" lastClr="000000"/>
              </a:solidFill>
              <a:effectLst/>
            </a:rPr>
            <a:t> </a:t>
          </a:r>
          <a:endParaRPr lang="en-US" sz="1400" b="1">
            <a:solidFill>
              <a:sysClr val="windowText" lastClr="000000"/>
            </a:solidFill>
          </a:endParaRPr>
        </a:p>
      </xdr:txBody>
    </xdr:sp>
    <xdr:clientData/>
  </xdr:twoCellAnchor>
  <xdr:twoCellAnchor>
    <xdr:from>
      <xdr:col>2</xdr:col>
      <xdr:colOff>472440</xdr:colOff>
      <xdr:row>8</xdr:row>
      <xdr:rowOff>53340</xdr:rowOff>
    </xdr:from>
    <xdr:to>
      <xdr:col>9</xdr:col>
      <xdr:colOff>262468</xdr:colOff>
      <xdr:row>22</xdr:row>
      <xdr:rowOff>76200</xdr:rowOff>
    </xdr:to>
    <xdr:graphicFrame macro="">
      <xdr:nvGraphicFramePr>
        <xdr:cNvPr id="9" name="Chart 8">
          <a:extLst>
            <a:ext uri="{FF2B5EF4-FFF2-40B4-BE49-F238E27FC236}">
              <a16:creationId xmlns:a16="http://schemas.microsoft.com/office/drawing/2014/main" id="{BB77177B-F87C-4523-8FF9-C1202B1ED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211667</xdr:colOff>
      <xdr:row>8</xdr:row>
      <xdr:rowOff>69426</xdr:rowOff>
    </xdr:from>
    <xdr:to>
      <xdr:col>22</xdr:col>
      <xdr:colOff>546947</xdr:colOff>
      <xdr:row>22</xdr:row>
      <xdr:rowOff>69426</xdr:rowOff>
    </xdr:to>
    <xdr:graphicFrame macro="">
      <xdr:nvGraphicFramePr>
        <xdr:cNvPr id="11" name="Chart 10">
          <a:extLst>
            <a:ext uri="{FF2B5EF4-FFF2-40B4-BE49-F238E27FC236}">
              <a16:creationId xmlns:a16="http://schemas.microsoft.com/office/drawing/2014/main" id="{4ED3EF41-1012-4BC1-BCF8-9DB75E353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327660</xdr:colOff>
      <xdr:row>22</xdr:row>
      <xdr:rowOff>152400</xdr:rowOff>
    </xdr:from>
    <xdr:to>
      <xdr:col>16</xdr:col>
      <xdr:colOff>127000</xdr:colOff>
      <xdr:row>35</xdr:row>
      <xdr:rowOff>152400</xdr:rowOff>
    </xdr:to>
    <xdr:graphicFrame macro="">
      <xdr:nvGraphicFramePr>
        <xdr:cNvPr id="13" name="Chart 12">
          <a:extLst>
            <a:ext uri="{FF2B5EF4-FFF2-40B4-BE49-F238E27FC236}">
              <a16:creationId xmlns:a16="http://schemas.microsoft.com/office/drawing/2014/main" id="{DB6CDF95-F938-48F7-AA9A-2B2B7ADD6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211667</xdr:colOff>
      <xdr:row>22</xdr:row>
      <xdr:rowOff>152400</xdr:rowOff>
    </xdr:from>
    <xdr:to>
      <xdr:col>22</xdr:col>
      <xdr:colOff>567266</xdr:colOff>
      <xdr:row>35</xdr:row>
      <xdr:rowOff>137160</xdr:rowOff>
    </xdr:to>
    <xdr:graphicFrame macro="">
      <xdr:nvGraphicFramePr>
        <xdr:cNvPr id="14" name="Chart 13">
          <a:extLst>
            <a:ext uri="{FF2B5EF4-FFF2-40B4-BE49-F238E27FC236}">
              <a16:creationId xmlns:a16="http://schemas.microsoft.com/office/drawing/2014/main" id="{AC441AE0-25AB-4ACB-8368-0A9F3F9F9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28</xdr:row>
      <xdr:rowOff>102870</xdr:rowOff>
    </xdr:from>
    <xdr:to>
      <xdr:col>2</xdr:col>
      <xdr:colOff>350520</xdr:colOff>
      <xdr:row>35</xdr:row>
      <xdr:rowOff>163830</xdr:rowOff>
    </xdr:to>
    <mc:AlternateContent xmlns:mc="http://schemas.openxmlformats.org/markup-compatibility/2006">
      <mc:Choice xmlns:a14="http://schemas.microsoft.com/office/drawing/2010/main" Requires="a14">
        <xdr:graphicFrame macro="">
          <xdr:nvGraphicFramePr>
            <xdr:cNvPr id="15" name="Discount Band 1">
              <a:extLst>
                <a:ext uri="{FF2B5EF4-FFF2-40B4-BE49-F238E27FC236}">
                  <a16:creationId xmlns:a16="http://schemas.microsoft.com/office/drawing/2014/main" id="{F4DC2F7E-B445-4009-8D7F-D2463B9C67A2}"/>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dr:sp macro="" textlink="">
          <xdr:nvSpPr>
            <xdr:cNvPr id="0" name=""/>
            <xdr:cNvSpPr>
              <a:spLocks noTextEdit="1"/>
            </xdr:cNvSpPr>
          </xdr:nvSpPr>
          <xdr:spPr>
            <a:xfrm>
              <a:off x="0" y="5223510"/>
              <a:ext cx="156972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87630</xdr:rowOff>
    </xdr:from>
    <xdr:to>
      <xdr:col>2</xdr:col>
      <xdr:colOff>358140</xdr:colOff>
      <xdr:row>27</xdr:row>
      <xdr:rowOff>179070</xdr:rowOff>
    </xdr:to>
    <mc:AlternateContent xmlns:mc="http://schemas.openxmlformats.org/markup-compatibility/2006">
      <mc:Choice xmlns:a14="http://schemas.microsoft.com/office/drawing/2010/main" Requires="a14">
        <xdr:graphicFrame macro="">
          <xdr:nvGraphicFramePr>
            <xdr:cNvPr id="16" name="Rating Category 1">
              <a:extLst>
                <a:ext uri="{FF2B5EF4-FFF2-40B4-BE49-F238E27FC236}">
                  <a16:creationId xmlns:a16="http://schemas.microsoft.com/office/drawing/2014/main" id="{5B4A68CA-D066-42CB-BA56-5E8017F3B6EB}"/>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0" y="3745230"/>
              <a:ext cx="157734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472441</xdr:colOff>
      <xdr:row>22</xdr:row>
      <xdr:rowOff>160865</xdr:rowOff>
    </xdr:from>
    <xdr:to>
      <xdr:col>9</xdr:col>
      <xdr:colOff>259081</xdr:colOff>
      <xdr:row>35</xdr:row>
      <xdr:rowOff>160866</xdr:rowOff>
    </xdr:to>
    <xdr:graphicFrame macro="">
      <xdr:nvGraphicFramePr>
        <xdr:cNvPr id="6" name="Chart 5">
          <a:extLst>
            <a:ext uri="{FF2B5EF4-FFF2-40B4-BE49-F238E27FC236}">
              <a16:creationId xmlns:a16="http://schemas.microsoft.com/office/drawing/2014/main" id="{BD8CCB40-CF62-4BE7-848F-2ECADA93B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xdr:colOff>
      <xdr:row>8</xdr:row>
      <xdr:rowOff>65829</xdr:rowOff>
    </xdr:from>
    <xdr:to>
      <xdr:col>2</xdr:col>
      <xdr:colOff>360045</xdr:colOff>
      <xdr:row>20</xdr:row>
      <xdr:rowOff>22860</xdr:rowOff>
    </xdr:to>
    <mc:AlternateContent xmlns:mc="http://schemas.openxmlformats.org/markup-compatibility/2006">
      <mc:Choice xmlns:a14="http://schemas.microsoft.com/office/drawing/2010/main" Requires="a14">
        <xdr:graphicFrame macro="">
          <xdr:nvGraphicFramePr>
            <xdr:cNvPr id="17" name="Product Category 1">
              <a:extLst>
                <a:ext uri="{FF2B5EF4-FFF2-40B4-BE49-F238E27FC236}">
                  <a16:creationId xmlns:a16="http://schemas.microsoft.com/office/drawing/2014/main" id="{BD5E473F-907F-4BD6-9CD5-BC19462D7F2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525" y="1528869"/>
              <a:ext cx="1569720" cy="2151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347133</xdr:colOff>
      <xdr:row>8</xdr:row>
      <xdr:rowOff>67735</xdr:rowOff>
    </xdr:from>
    <xdr:to>
      <xdr:col>16</xdr:col>
      <xdr:colOff>143933</xdr:colOff>
      <xdr:row>22</xdr:row>
      <xdr:rowOff>67733</xdr:rowOff>
    </xdr:to>
    <xdr:graphicFrame macro="">
      <xdr:nvGraphicFramePr>
        <xdr:cNvPr id="20" name="Chart 19">
          <a:extLst>
            <a:ext uri="{FF2B5EF4-FFF2-40B4-BE49-F238E27FC236}">
              <a16:creationId xmlns:a16="http://schemas.microsoft.com/office/drawing/2014/main" id="{D6CCD7A7-794D-4634-B83E-1C865F8CE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4.828755787035" createdVersion="8" refreshedVersion="8" minRefreshableVersion="3" recordCount="112" xr:uid="{A75E8CE6-34C8-4E0C-B885-136E12AE4200}">
  <cacheSource type="worksheet">
    <worksheetSource name="Table1"/>
  </cacheSource>
  <cacheFields count="10">
    <cacheField name="Product" numFmtId="0">
      <sharedItems count="109">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3Pcs/Set Yarn Knitting Crochet Hooks With Bag - Fortune Cat"/>
        <s v="52 Pieces Cake Decorating Tool Set Gift Kit Baking Supplies"/>
        <s v="Agapeon Toothbrush Holder And Toothpaste Dispenser"/>
        <s v="VIC Wireless Vacuum Cleaner Dual Use For Home And Car 120W High Power Powerful"/>
        <s v="220V 60W Electric Soldering Iron Kits With Tools, Tips, And Multimeter"/>
        <s v="Intelligent  LED Body Sensor Wireless Lighting Night Light USB"/>
        <s v="Foldable Overbed Table/Desk"/>
        <s v="Metal Decorative Hooks Key Hangers Entryway Wall Hooks Towel Hooks - Home"/>
        <s v="12 Litre Black Insulated Lunch Box"/>
        <s v="3PCS Single Head Knitting Crochet Sweater Needle Set"/>
        <s v="5-PCS Stainless Steel Cooking Pot Set With Steamed Slices"/>
        <s v="Portable Wardrobe Nonwoven With 3 Hanging Rods And 6 Storage Shelves"/>
        <s v="Genebre 115 In 1 Screwdriver Repairing Tool Set For IPhone Cellphone Hand Tool"/>
        <s v="12 Litre Insulated Lunch Box Grey"/>
        <s v="40cm Gold DIY Acrylic Wall Sticker Clock"/>
        <s v="Mythco 120COB Solar Wall Ligt With Motion Sensor And Remote Control 3 Modes"/>
        <s v="Multifunction Laser Level With Adjustment Tripod"/>
        <s v="LED Eye Protection  Desk Lamp , Study, Reading, USB Fan - Double Pen Holder"/>
        <s v="Exfoliate And Exfoliate Face Towel - Black"/>
        <s v="Weighing Scale Digital Bathroom Body Fat Scale USB-Black"/>
        <s v="Electric LED UV Mosquito Killer Lamp, Outdoor/Indoor Fly Killer Trap Light -USB"/>
        <s v="380ML USB Rechargeable Portable Small Blenders And Juicers"/>
        <s v="LASA 3 Tier Bamboo Shoe Bench Storage Shelf"/>
        <s v="5 Pieces/set Of Stainless Steel Induction Cooker Pots"/>
        <s v="LED Romantic Spaceship Starry Sky Projector,Children's Bedroom Night Light-Blue"/>
        <s v="LASA Digital Thermometer And Hydrometer"/>
        <s v="Watercolour Gold Foil Textured Print Pillow Cover"/>
        <s v="Artificial Potted Flowers Room Decorative Flowers (2 Pieces)"/>
        <s v="7-piece Set Of Storage Bags, Travel Storage Bags, Shoe Bags"/>
        <s v="LED Wall Digital Alarm Clock Study Home 12 / 24H Clock Calendar"/>
        <s v="Portable Home Small Air Humidifier 3-Speed Fan - Green"/>
        <s v="Large Lazy Inflatable Sofa Chairs PVC Lounger Seat Bag"/>
        <s v="32PCS Portable Cordless Drill Set With Cyclic Battery Drive -26 Variable Speed"/>
        <s v="Wrought Iron Bathroom Shelf Wall Mounted Free Punch Toilet Rack"/>
        <s v="13 In 1 Home Repair Tools Box Kit Set"/>
        <s v="LASA FOLDING TABLE SERVING STAND"/>
        <s v="LASA Aluminum Folding Truck Hand Cart - 68kg Max"/>
        <s v="Desk Foldable Fan Adjustable Fan Strong Wind 3 Gear Usb"/>
        <s v="115  Piece Set Of Multifunctional Precision Screwdrivers"/>
        <s v="1/2/3 Seater Elastic Sofa Cover,Living Room/Home Decor Chair Cover-Grey"/>
        <s v="Peacock  Throw Pillow Cushion Case For Home Car"/>
        <s v="Anti-Skid Absorbent Insulation Coaster  For Home Office"/>
        <s v="Classic Black Cat Cotton Hemp Pillow Case For Home Car"/>
        <s v="Konka Healty Electric Kettle, 24-hour Heat Preservation,1.5L,800W, White"/>
        <s v="DIY File Folder, Office Drawer File Holder, Pen Holder, Desktop Storage Rack"/>
        <s v="Memory Foam Neck Pillow Cover, With Pillow Core - 50*30cm"/>
        <s v="Bedroom Simple Floor Hanging Clothes Rack Single Pole Hat Rack - White"/>
        <s v="Household Pineapple Peeler Peeler"/>
        <s v="Wall-mounted Sticker Punch-free Plug Fixer"/>
        <s v="24 Grid Wall-mounted Sundries Organiser Fabric Closet Bag Storage Rack"/>
        <s v="Shower Cap Wide Elastic Band Cover Reusable Bashroom Cap"/>
        <s v="Pen Grips For Kids Pen Grip Posture Correction Tool For Kids"/>
        <s v="2 Pairs Cowhide Split Leather Work Gloves.32â„‰ Or Above Welding Gloves"/>
        <s v="Portable Soap Dispenser Kitchen Detergent Press Box Kitchen Tools"/>
        <s v="Shower Nozzle Cleaning Unclogging Needle Mini Crevice Small Hole Cleaning Brush"/>
        <s v="Thickening Multipurpose Non Stick Easy To Clean Heat Resistant Spoon Pad"/>
        <s v="Multi-purpose Rice Drainage Basket And Fruit And Vegetable Drainage Sieve"/>
        <s v="Cushion Silicone Butt Cushion Summer Ice Cushion Honeycomb Gel Cushion"/>
        <s v="Metal Wall Clock Silver Dial Crystal Jewelry Round Home Decoration Wall Clock"/>
        <s v="Wall Mount Automatic Toothpaste Dispenser Toothbrush Holder Toothpaste Squeezer"/>
        <s v="Outdoor Portable Water Bottle With Medicine Box - 600ML - Black"/>
        <s v="Office Chair Lumbar Back Support Spine Posture Correction Pillow Car Cushion"/>
        <s v="Wall-Mounted Toothbrush Toothpaste Holder With Multiple Slots"/>
        <s v="Pilates Cloth Bag Waterproof Durable High Capacity Purple"/>
        <s v="1PC Refrigerator Food Seal Pocket Fridge Bags"/>
        <s v="12V 19500rpm Handheld Electric Angle Grinder Tool - UK - Yellow/Black"/>
        <s v="60W Hot Melt Glue Sprayer - Efficient And Stable Glue Dispensing"/>
        <s v="LED Solar Street Light-fake Camera"/>
        <s v="Cartoon Embroidered Mini Towel Bear Cotton Wash Cloth Hand 4pcs"/>
        <s v="5m Waterproof Spherical LED String Lights Outdoor Ball Chain Lights Party Lighting Decoration Adjustable"/>
        <s v="LASA Stainless Steel Double Wall Mount Soap Dispenser - 500ml"/>
        <s v="2pcs Solar Street Light Flood Light Outdoor"/>
        <s v="Cute Christmas Fence Garden Decorations For Holiday Home"/>
        <s v="9pcs Gas Mask, For Painting, Dust, Formaldehyde Grinding, Polishing"/>
        <s v="4pcs Bathroom/Kitchen Towel Rack,Roll Paper Holder,Towel Bars,Hook"/>
        <s v="Balloon Insert, Birthday Party Balloon Set, PU Leather"/>
        <s v="8in1 Screwdriver With LED Light"/>
        <s v="3PCS Rotary Scraper Thermomix For Kitchen"/>
        <s v="Multifunctional Hanging Storage Box Storage Bag (4 Layers)"/>
        <s v="Simple Metal Dog Art Sculpture Decoration For Home Office"/>
        <s v="MultiFunctional Storage Rack Multi-layer Bookshelf"/>
        <s v="2PCS/LOT Solar LED Outdoor Intelligent Light Controlled Wall Lamp"/>
        <s v="6 Layers Steel Pipe Assembling Dustproof Storage Shoe Cabinet"/>
        <s v="Black Simple Water Cup Wine Coaster Anti Slip Absorbent"/>
        <s v="Christmas Fence Garden Decorations Outdoor For Holiday Home"/>
        <s v="Portable Wine Table With Folding Round Table"/>
        <s v="Sewing Machine Needle Threader Stitch Insertion Tool Automatic Quick Sewing"/>
        <s v="4M Float Switch Water Level Controller -Water Tank"/>
        <s v="Car Phone Charging Stand"/>
        <s v="Angle Measuring Tool Full Metal Multi Angle Measuring Tool"/>
        <s v="7PCS Silicone Thumb Knife Finger Protector Vegetable Harvesting Knife"/>
        <s v="Creative Owl Shape Keychain Black"/>
        <s v="Cartoon Car Decoration Cute Individuality For Car Home Desk"/>
        <s v="4 Piece Coloured Stainless Steel Kitchenware Set"/>
        <s v="Baby Early Education Shape And Color Cognitive Training Toys"/>
        <s v="Modern Sofa Throw Pillow Cover-45x45cm-Blue&amp;Red"/>
        <s v="Christmas Elk Fence Yard Lawn Decorations Cute For Holidays"/>
        <s v="Brush &amp; Paintbrush Cleaning Tool Pink"/>
        <s v="Wall Clock With Hidden Safe Box"/>
        <s v="2PCS Ice Silk Square Cushion Cover Pillowcases - 65x65cm"/>
        <s v="6 In 1 Bottle Can Opener Multifunctional Easy Opener"/>
      </sharedItems>
    </cacheField>
    <cacheField name="Product Category" numFmtId="0">
      <sharedItems count="17">
        <s v="Home Appliances"/>
        <s v="Arts, Crafts &amp; Sewing"/>
        <s v="Tools &amp; Hardware"/>
        <s v="Bathroom Accessories"/>
        <s v="Automotive Accessories"/>
        <s v="Lighting &amp; Solar Products"/>
        <s v="Furniture &amp; Storage"/>
        <s v="Home Decor &amp; Furnishings"/>
        <s v="Kitchen &amp; Dining"/>
        <s v="Office &amp; Study Supplies"/>
        <s v="Health &amp; Personal Care"/>
        <s v="Travel &amp; Outdoor"/>
        <s v="Cleaning &amp; Household Utilities"/>
        <s v="Baby &amp; Kids Products"/>
        <s v="Safety &amp; Protective Equipment"/>
        <s v="Sports &amp; Fitness"/>
        <s v="Fashion &amp; Accessories"/>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numFmtId="9">
      <sharedItems containsSemiMixedTypes="0" containsString="0" containsNumber="1" minValue="0.01" maxValue="0.64"/>
    </cacheField>
    <cacheField name="Discount Band" numFmtId="9">
      <sharedItems count="3">
        <s v="High Discount"/>
        <s v="Medium Discount"/>
        <s v="Low Discount"/>
      </sharedItems>
    </cacheField>
    <cacheField name="Total Discount" numFmtId="2">
      <sharedItems containsSemiMixedTypes="0" containsString="0" containsNumber="1" containsInteger="1" minValue="24" maxValue="2585"/>
    </cacheField>
    <cacheField name="Review" numFmtId="1">
      <sharedItems containsString="0" containsBlank="1" containsNumber="1" containsInteger="1" minValue="1" maxValue="69"/>
    </cacheField>
    <cacheField name="Ratings" numFmtId="164">
      <sharedItems containsString="0" containsBlank="1" containsNumber="1" minValue="2" maxValue="5"/>
    </cacheField>
    <cacheField name="Rating Category" numFmtId="0">
      <sharedItems containsBlank="1" count="5">
        <s v="Poor"/>
        <s v="Excellent"/>
        <s v="Good"/>
        <s v="Average"/>
        <m/>
      </sharedItems>
    </cacheField>
  </cacheFields>
  <extLst>
    <ext xmlns:x14="http://schemas.microsoft.com/office/spreadsheetml/2009/9/main" uri="{725AE2AE-9491-48be-B2B4-4EB974FC3084}">
      <x14:pivotCacheDefinition pivotCacheId="230197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445"/>
    <n v="873"/>
    <n v="0.49"/>
    <x v="0"/>
    <n v="428"/>
    <n v="69"/>
    <n v="2.8"/>
    <x v="0"/>
  </r>
  <r>
    <x v="1"/>
    <x v="1"/>
    <n v="2319"/>
    <n v="3032"/>
    <n v="0.24"/>
    <x v="1"/>
    <n v="713"/>
    <n v="55"/>
    <n v="4.5999999999999996"/>
    <x v="1"/>
  </r>
  <r>
    <x v="2"/>
    <x v="2"/>
    <n v="420"/>
    <n v="647"/>
    <n v="0.35"/>
    <x v="1"/>
    <n v="227"/>
    <n v="49"/>
    <n v="4.5999999999999996"/>
    <x v="1"/>
  </r>
  <r>
    <x v="3"/>
    <x v="3"/>
    <n v="998"/>
    <n v="1966"/>
    <n v="0.49"/>
    <x v="0"/>
    <n v="968"/>
    <n v="44"/>
    <n v="4.5999999999999996"/>
    <x v="1"/>
  </r>
  <r>
    <x v="4"/>
    <x v="1"/>
    <n v="990"/>
    <n v="1500"/>
    <n v="0.34"/>
    <x v="1"/>
    <n v="510"/>
    <n v="39"/>
    <n v="4.7"/>
    <x v="1"/>
  </r>
  <r>
    <x v="5"/>
    <x v="3"/>
    <n v="389"/>
    <n v="656"/>
    <n v="0.41"/>
    <x v="0"/>
    <n v="267"/>
    <n v="36"/>
    <n v="4.3"/>
    <x v="2"/>
  </r>
  <r>
    <x v="6"/>
    <x v="1"/>
    <n v="1980"/>
    <n v="2699"/>
    <n v="0.27"/>
    <x v="1"/>
    <n v="719"/>
    <n v="32"/>
    <n v="4.5"/>
    <x v="1"/>
  </r>
  <r>
    <x v="7"/>
    <x v="4"/>
    <n v="2199"/>
    <n v="2923"/>
    <n v="0.25"/>
    <x v="1"/>
    <n v="724"/>
    <n v="24"/>
    <n v="4.5999999999999996"/>
    <x v="1"/>
  </r>
  <r>
    <x v="8"/>
    <x v="1"/>
    <n v="1940"/>
    <n v="2650"/>
    <n v="0.27"/>
    <x v="1"/>
    <n v="710"/>
    <n v="20"/>
    <n v="4.7"/>
    <x v="1"/>
  </r>
  <r>
    <x v="9"/>
    <x v="1"/>
    <n v="1758"/>
    <n v="2499"/>
    <n v="0.3"/>
    <x v="1"/>
    <n v="741"/>
    <n v="20"/>
    <n v="4.0999999999999996"/>
    <x v="2"/>
  </r>
  <r>
    <x v="10"/>
    <x v="3"/>
    <n v="382"/>
    <n v="700"/>
    <n v="0.45"/>
    <x v="0"/>
    <n v="318"/>
    <n v="17"/>
    <n v="2.6"/>
    <x v="0"/>
  </r>
  <r>
    <x v="11"/>
    <x v="0"/>
    <n v="1220"/>
    <n v="1555"/>
    <n v="0.22"/>
    <x v="1"/>
    <n v="335"/>
    <n v="16"/>
    <n v="2.9"/>
    <x v="0"/>
  </r>
  <r>
    <x v="12"/>
    <x v="2"/>
    <n v="2999"/>
    <n v="3290"/>
    <n v="0.09"/>
    <x v="2"/>
    <n v="291"/>
    <n v="15"/>
    <n v="4"/>
    <x v="3"/>
  </r>
  <r>
    <x v="13"/>
    <x v="5"/>
    <n v="325"/>
    <n v="680"/>
    <n v="0.52"/>
    <x v="0"/>
    <n v="355"/>
    <n v="15"/>
    <n v="2.7"/>
    <x v="0"/>
  </r>
  <r>
    <x v="14"/>
    <x v="6"/>
    <n v="1650"/>
    <n v="2150"/>
    <n v="0.23"/>
    <x v="1"/>
    <n v="500"/>
    <n v="14"/>
    <n v="4.4000000000000004"/>
    <x v="2"/>
  </r>
  <r>
    <x v="15"/>
    <x v="7"/>
    <n v="527"/>
    <n v="999"/>
    <n v="0.47"/>
    <x v="0"/>
    <n v="472"/>
    <n v="14"/>
    <n v="4.0999999999999996"/>
    <x v="2"/>
  </r>
  <r>
    <x v="16"/>
    <x v="8"/>
    <n v="1350"/>
    <n v="1990"/>
    <n v="0.32"/>
    <x v="1"/>
    <n v="640"/>
    <n v="13"/>
    <n v="3.8"/>
    <x v="3"/>
  </r>
  <r>
    <x v="17"/>
    <x v="1"/>
    <n v="38"/>
    <n v="80"/>
    <n v="0.53"/>
    <x v="0"/>
    <n v="42"/>
    <n v="13"/>
    <n v="3.3"/>
    <x v="3"/>
  </r>
  <r>
    <x v="18"/>
    <x v="8"/>
    <n v="2115"/>
    <n v="4700"/>
    <n v="0.55000000000000004"/>
    <x v="0"/>
    <n v="2585"/>
    <n v="13"/>
    <n v="2.1"/>
    <x v="0"/>
  </r>
  <r>
    <x v="19"/>
    <x v="6"/>
    <n v="2880"/>
    <n v="3520"/>
    <n v="0.18"/>
    <x v="2"/>
    <n v="640"/>
    <n v="12"/>
    <n v="3.8"/>
    <x v="3"/>
  </r>
  <r>
    <x v="20"/>
    <x v="2"/>
    <n v="799"/>
    <n v="999"/>
    <n v="0.2"/>
    <x v="1"/>
    <n v="200"/>
    <n v="12"/>
    <n v="4.0999999999999996"/>
    <x v="2"/>
  </r>
  <r>
    <x v="21"/>
    <x v="8"/>
    <n v="980"/>
    <n v="1490"/>
    <n v="0.34"/>
    <x v="1"/>
    <n v="510"/>
    <n v="12"/>
    <n v="4.7"/>
    <x v="1"/>
  </r>
  <r>
    <x v="22"/>
    <x v="7"/>
    <n v="552"/>
    <n v="1035"/>
    <n v="0.47"/>
    <x v="0"/>
    <n v="483"/>
    <n v="12"/>
    <n v="4.8"/>
    <x v="1"/>
  </r>
  <r>
    <x v="23"/>
    <x v="5"/>
    <n v="458"/>
    <n v="986"/>
    <n v="0.54"/>
    <x v="0"/>
    <n v="528"/>
    <n v="10"/>
    <n v="3"/>
    <x v="3"/>
  </r>
  <r>
    <x v="24"/>
    <x v="2"/>
    <n v="1680"/>
    <n v="2499"/>
    <n v="0.33"/>
    <x v="1"/>
    <n v="819"/>
    <n v="9"/>
    <n v="4.2"/>
    <x v="2"/>
  </r>
  <r>
    <x v="25"/>
    <x v="9"/>
    <n v="1820"/>
    <n v="3490"/>
    <n v="0.48"/>
    <x v="0"/>
    <n v="1670"/>
    <n v="9"/>
    <n v="4.3"/>
    <x v="2"/>
  </r>
  <r>
    <x v="26"/>
    <x v="10"/>
    <n v="185"/>
    <n v="382"/>
    <n v="0.52"/>
    <x v="0"/>
    <n v="197"/>
    <n v="9"/>
    <n v="4.3"/>
    <x v="2"/>
  </r>
  <r>
    <x v="27"/>
    <x v="10"/>
    <n v="1580"/>
    <n v="2499"/>
    <n v="0.37"/>
    <x v="1"/>
    <n v="919"/>
    <n v="7"/>
    <n v="4.7"/>
    <x v="1"/>
  </r>
  <r>
    <x v="28"/>
    <x v="0"/>
    <n v="1570"/>
    <n v="2988"/>
    <n v="0.47"/>
    <x v="0"/>
    <n v="1418"/>
    <n v="7"/>
    <n v="2.1"/>
    <x v="0"/>
  </r>
  <r>
    <x v="29"/>
    <x v="0"/>
    <n v="1000"/>
    <n v="2000"/>
    <n v="0.5"/>
    <x v="0"/>
    <n v="1000"/>
    <n v="7"/>
    <n v="2.2999999999999998"/>
    <x v="0"/>
  </r>
  <r>
    <x v="30"/>
    <x v="6"/>
    <n v="2048"/>
    <n v="4500"/>
    <n v="0.54"/>
    <x v="0"/>
    <n v="2452"/>
    <n v="7"/>
    <n v="4.3"/>
    <x v="2"/>
  </r>
  <r>
    <x v="31"/>
    <x v="8"/>
    <n v="2170"/>
    <n v="2500"/>
    <n v="0.13"/>
    <x v="2"/>
    <n v="330"/>
    <n v="6"/>
    <n v="2.5"/>
    <x v="0"/>
  </r>
  <r>
    <x v="32"/>
    <x v="7"/>
    <n v="880"/>
    <n v="1350"/>
    <n v="0.35"/>
    <x v="1"/>
    <n v="470"/>
    <n v="6"/>
    <n v="4"/>
    <x v="3"/>
  </r>
  <r>
    <x v="33"/>
    <x v="10"/>
    <n v="501"/>
    <n v="860"/>
    <n v="0.42"/>
    <x v="0"/>
    <n v="359"/>
    <n v="6"/>
    <n v="4.5"/>
    <x v="1"/>
  </r>
  <r>
    <x v="34"/>
    <x v="7"/>
    <n v="345"/>
    <n v="602"/>
    <n v="0.43"/>
    <x v="0"/>
    <n v="257"/>
    <n v="6"/>
    <n v="2.2999999999999998"/>
    <x v="0"/>
  </r>
  <r>
    <x v="35"/>
    <x v="7"/>
    <n v="990"/>
    <n v="1814"/>
    <n v="0.45"/>
    <x v="0"/>
    <n v="824"/>
    <n v="6"/>
    <n v="2.2000000000000002"/>
    <x v="0"/>
  </r>
  <r>
    <x v="36"/>
    <x v="11"/>
    <n v="968"/>
    <n v="1814"/>
    <n v="0.47"/>
    <x v="0"/>
    <n v="846"/>
    <n v="6"/>
    <n v="2.2000000000000002"/>
    <x v="0"/>
  </r>
  <r>
    <x v="37"/>
    <x v="7"/>
    <n v="2999"/>
    <n v="3699"/>
    <n v="0.19"/>
    <x v="2"/>
    <n v="700"/>
    <n v="5"/>
    <n v="4.5999999999999996"/>
    <x v="1"/>
  </r>
  <r>
    <x v="38"/>
    <x v="0"/>
    <n v="1740"/>
    <n v="2356"/>
    <n v="0.26"/>
    <x v="1"/>
    <n v="616"/>
    <n v="5"/>
    <n v="4.8"/>
    <x v="1"/>
  </r>
  <r>
    <x v="39"/>
    <x v="6"/>
    <n v="2300"/>
    <n v="3240"/>
    <n v="0.28999999999999998"/>
    <x v="1"/>
    <n v="940"/>
    <n v="5"/>
    <n v="3"/>
    <x v="3"/>
  </r>
  <r>
    <x v="40"/>
    <x v="2"/>
    <n v="3750"/>
    <n v="6143"/>
    <n v="0.39"/>
    <x v="1"/>
    <n v="2393"/>
    <n v="5"/>
    <n v="3"/>
    <x v="3"/>
  </r>
  <r>
    <x v="41"/>
    <x v="3"/>
    <n v="509"/>
    <n v="899"/>
    <n v="0.43"/>
    <x v="0"/>
    <n v="390"/>
    <n v="5"/>
    <n v="3"/>
    <x v="3"/>
  </r>
  <r>
    <x v="42"/>
    <x v="2"/>
    <n v="1600"/>
    <n v="2929"/>
    <n v="0.45"/>
    <x v="0"/>
    <n v="1329"/>
    <n v="5"/>
    <n v="3.8"/>
    <x v="3"/>
  </r>
  <r>
    <x v="43"/>
    <x v="6"/>
    <n v="1274"/>
    <n v="2800"/>
    <n v="0.55000000000000004"/>
    <x v="0"/>
    <n v="1526"/>
    <n v="5"/>
    <n v="4.8"/>
    <x v="1"/>
  </r>
  <r>
    <x v="44"/>
    <x v="2"/>
    <n v="2025"/>
    <n v="3971"/>
    <n v="0.49"/>
    <x v="0"/>
    <n v="1946"/>
    <n v="3"/>
    <n v="5"/>
    <x v="1"/>
  </r>
  <r>
    <x v="45"/>
    <x v="0"/>
    <n v="988"/>
    <n v="1580"/>
    <n v="0.37"/>
    <x v="1"/>
    <n v="592"/>
    <n v="2"/>
    <n v="4"/>
    <x v="3"/>
  </r>
  <r>
    <x v="46"/>
    <x v="2"/>
    <n v="950"/>
    <n v="1525"/>
    <n v="0.38"/>
    <x v="1"/>
    <n v="575"/>
    <n v="2"/>
    <n v="4.5"/>
    <x v="1"/>
  </r>
  <r>
    <x v="47"/>
    <x v="7"/>
    <n v="1800"/>
    <n v="2700"/>
    <n v="0.38"/>
    <x v="1"/>
    <n v="900"/>
    <n v="2"/>
    <n v="4.5"/>
    <x v="1"/>
  </r>
  <r>
    <x v="48"/>
    <x v="7"/>
    <n v="195"/>
    <n v="360"/>
    <n v="0.46"/>
    <x v="0"/>
    <n v="165"/>
    <n v="2"/>
    <n v="5"/>
    <x v="1"/>
  </r>
  <r>
    <x v="49"/>
    <x v="8"/>
    <n v="332"/>
    <n v="684"/>
    <n v="0.51"/>
    <x v="0"/>
    <n v="352"/>
    <n v="2"/>
    <n v="5"/>
    <x v="1"/>
  </r>
  <r>
    <x v="50"/>
    <x v="7"/>
    <n v="171"/>
    <n v="360"/>
    <n v="0.53"/>
    <x v="0"/>
    <n v="189"/>
    <n v="2"/>
    <n v="5"/>
    <x v="1"/>
  </r>
  <r>
    <x v="51"/>
    <x v="0"/>
    <n v="3640"/>
    <n v="4588"/>
    <n v="0.21"/>
    <x v="1"/>
    <n v="948"/>
    <n v="1"/>
    <n v="5"/>
    <x v="1"/>
  </r>
  <r>
    <x v="52"/>
    <x v="9"/>
    <n v="1620"/>
    <n v="2690"/>
    <n v="0.4"/>
    <x v="1"/>
    <n v="1070"/>
    <n v="1"/>
    <n v="5"/>
    <x v="1"/>
  </r>
  <r>
    <x v="53"/>
    <x v="10"/>
    <n v="1189"/>
    <n v="2199"/>
    <n v="0.46"/>
    <x v="0"/>
    <n v="1010"/>
    <n v="1"/>
    <n v="3"/>
    <x v="3"/>
  </r>
  <r>
    <x v="54"/>
    <x v="6"/>
    <n v="979"/>
    <n v="1920"/>
    <n v="0.49"/>
    <x v="0"/>
    <n v="941"/>
    <n v="1"/>
    <n v="5"/>
    <x v="1"/>
  </r>
  <r>
    <x v="55"/>
    <x v="8"/>
    <n v="330"/>
    <n v="647"/>
    <n v="0.49"/>
    <x v="0"/>
    <n v="317"/>
    <n v="1"/>
    <n v="4"/>
    <x v="3"/>
  </r>
  <r>
    <x v="56"/>
    <x v="12"/>
    <n v="450"/>
    <n v="900"/>
    <n v="0.5"/>
    <x v="0"/>
    <n v="450"/>
    <n v="1"/>
    <n v="2"/>
    <x v="0"/>
  </r>
  <r>
    <x v="57"/>
    <x v="6"/>
    <n v="1875"/>
    <n v="1899"/>
    <n v="0.01"/>
    <x v="2"/>
    <n v="24"/>
    <m/>
    <m/>
    <x v="4"/>
  </r>
  <r>
    <x v="58"/>
    <x v="3"/>
    <n v="2132"/>
    <n v="2169"/>
    <n v="0.02"/>
    <x v="2"/>
    <n v="37"/>
    <m/>
    <m/>
    <x v="4"/>
  </r>
  <r>
    <x v="59"/>
    <x v="13"/>
    <n v="1660"/>
    <n v="1699"/>
    <n v="0.02"/>
    <x v="2"/>
    <n v="39"/>
    <m/>
    <m/>
    <x v="4"/>
  </r>
  <r>
    <x v="60"/>
    <x v="14"/>
    <n v="1666"/>
    <n v="1699"/>
    <n v="0.02"/>
    <x v="2"/>
    <n v="33"/>
    <m/>
    <m/>
    <x v="4"/>
  </r>
  <r>
    <x v="61"/>
    <x v="8"/>
    <n v="1462"/>
    <n v="1499"/>
    <n v="0.02"/>
    <x v="2"/>
    <n v="37"/>
    <m/>
    <m/>
    <x v="4"/>
  </r>
  <r>
    <x v="62"/>
    <x v="12"/>
    <n v="1658"/>
    <n v="1699"/>
    <n v="0.02"/>
    <x v="2"/>
    <n v="41"/>
    <m/>
    <m/>
    <x v="4"/>
  </r>
  <r>
    <x v="63"/>
    <x v="8"/>
    <n v="1768"/>
    <n v="1799"/>
    <n v="0.02"/>
    <x v="2"/>
    <n v="31"/>
    <m/>
    <m/>
    <x v="4"/>
  </r>
  <r>
    <x v="64"/>
    <x v="8"/>
    <n v="1459"/>
    <n v="1499"/>
    <n v="0.03"/>
    <x v="2"/>
    <n v="40"/>
    <m/>
    <m/>
    <x v="4"/>
  </r>
  <r>
    <x v="65"/>
    <x v="10"/>
    <n v="1732"/>
    <n v="1799"/>
    <n v="0.04"/>
    <x v="2"/>
    <n v="67"/>
    <m/>
    <m/>
    <x v="4"/>
  </r>
  <r>
    <x v="66"/>
    <x v="7"/>
    <n v="3546"/>
    <n v="3699"/>
    <n v="0.04"/>
    <x v="2"/>
    <n v="153"/>
    <m/>
    <m/>
    <x v="4"/>
  </r>
  <r>
    <x v="67"/>
    <x v="3"/>
    <n v="1526"/>
    <n v="1660"/>
    <n v="0.08"/>
    <x v="2"/>
    <n v="134"/>
    <m/>
    <m/>
    <x v="4"/>
  </r>
  <r>
    <x v="68"/>
    <x v="11"/>
    <n v="799"/>
    <n v="900"/>
    <n v="0.11"/>
    <x v="2"/>
    <n v="101"/>
    <m/>
    <m/>
    <x v="4"/>
  </r>
  <r>
    <x v="69"/>
    <x v="10"/>
    <n v="1466"/>
    <n v="1699"/>
    <n v="0.14000000000000001"/>
    <x v="2"/>
    <n v="233"/>
    <m/>
    <m/>
    <x v="4"/>
  </r>
  <r>
    <x v="70"/>
    <x v="3"/>
    <n v="1468"/>
    <n v="1699"/>
    <n v="0.14000000000000001"/>
    <x v="2"/>
    <n v="231"/>
    <m/>
    <m/>
    <x v="4"/>
  </r>
  <r>
    <x v="71"/>
    <x v="15"/>
    <n v="299"/>
    <n v="384"/>
    <n v="0.22"/>
    <x v="1"/>
    <n v="85"/>
    <m/>
    <m/>
    <x v="4"/>
  </r>
  <r>
    <x v="72"/>
    <x v="8"/>
    <n v="198"/>
    <n v="260"/>
    <n v="0.24"/>
    <x v="1"/>
    <n v="62"/>
    <m/>
    <m/>
    <x v="4"/>
  </r>
  <r>
    <x v="73"/>
    <x v="2"/>
    <n v="2799"/>
    <n v="3810"/>
    <n v="0.27"/>
    <x v="1"/>
    <n v="1011"/>
    <m/>
    <m/>
    <x v="4"/>
  </r>
  <r>
    <x v="74"/>
    <x v="2"/>
    <n v="1190"/>
    <n v="1785"/>
    <n v="0.33"/>
    <x v="1"/>
    <n v="595"/>
    <m/>
    <m/>
    <x v="4"/>
  </r>
  <r>
    <x v="75"/>
    <x v="5"/>
    <n v="1150"/>
    <n v="1737"/>
    <n v="0.34"/>
    <x v="1"/>
    <n v="587"/>
    <m/>
    <m/>
    <x v="4"/>
  </r>
  <r>
    <x v="76"/>
    <x v="3"/>
    <n v="1190"/>
    <n v="1810"/>
    <n v="0.34"/>
    <x v="1"/>
    <n v="620"/>
    <m/>
    <m/>
    <x v="4"/>
  </r>
  <r>
    <x v="77"/>
    <x v="5"/>
    <n v="1460"/>
    <n v="2290"/>
    <n v="0.36"/>
    <x v="1"/>
    <n v="830"/>
    <m/>
    <m/>
    <x v="4"/>
  </r>
  <r>
    <x v="78"/>
    <x v="3"/>
    <n v="2750"/>
    <n v="4471"/>
    <n v="0.38"/>
    <x v="1"/>
    <n v="1721"/>
    <m/>
    <m/>
    <x v="4"/>
  </r>
  <r>
    <x v="79"/>
    <x v="5"/>
    <n v="1200"/>
    <n v="1950"/>
    <n v="0.38"/>
    <x v="1"/>
    <n v="750"/>
    <m/>
    <m/>
    <x v="4"/>
  </r>
  <r>
    <x v="80"/>
    <x v="7"/>
    <n v="799"/>
    <n v="1343"/>
    <n v="0.41"/>
    <x v="0"/>
    <n v="544"/>
    <m/>
    <m/>
    <x v="4"/>
  </r>
  <r>
    <x v="81"/>
    <x v="14"/>
    <n v="1420"/>
    <n v="2420"/>
    <n v="0.41"/>
    <x v="0"/>
    <n v="1000"/>
    <m/>
    <m/>
    <x v="4"/>
  </r>
  <r>
    <x v="82"/>
    <x v="3"/>
    <n v="1860"/>
    <n v="3220"/>
    <n v="0.42"/>
    <x v="0"/>
    <n v="1360"/>
    <m/>
    <m/>
    <x v="4"/>
  </r>
  <r>
    <x v="83"/>
    <x v="7"/>
    <n v="610"/>
    <n v="1060"/>
    <n v="0.42"/>
    <x v="0"/>
    <n v="450"/>
    <m/>
    <m/>
    <x v="4"/>
  </r>
  <r>
    <x v="84"/>
    <x v="2"/>
    <n v="1080"/>
    <n v="1874"/>
    <n v="0.42"/>
    <x v="0"/>
    <n v="794"/>
    <m/>
    <m/>
    <x v="4"/>
  </r>
  <r>
    <x v="85"/>
    <x v="8"/>
    <n v="690"/>
    <n v="1200"/>
    <n v="0.43"/>
    <x v="0"/>
    <n v="510"/>
    <m/>
    <m/>
    <x v="4"/>
  </r>
  <r>
    <x v="86"/>
    <x v="6"/>
    <n v="630"/>
    <n v="1100"/>
    <n v="0.43"/>
    <x v="0"/>
    <n v="470"/>
    <m/>
    <m/>
    <x v="4"/>
  </r>
  <r>
    <x v="87"/>
    <x v="7"/>
    <n v="499"/>
    <n v="900"/>
    <n v="0.45"/>
    <x v="0"/>
    <n v="401"/>
    <m/>
    <m/>
    <x v="4"/>
  </r>
  <r>
    <x v="88"/>
    <x v="6"/>
    <n v="2200"/>
    <n v="4080"/>
    <n v="0.46"/>
    <x v="0"/>
    <n v="1880"/>
    <m/>
    <m/>
    <x v="4"/>
  </r>
  <r>
    <x v="89"/>
    <x v="5"/>
    <n v="790"/>
    <n v="1485"/>
    <n v="0.47"/>
    <x v="0"/>
    <n v="695"/>
    <m/>
    <m/>
    <x v="4"/>
  </r>
  <r>
    <x v="90"/>
    <x v="6"/>
    <n v="899"/>
    <n v="1699"/>
    <n v="0.47"/>
    <x v="0"/>
    <n v="800"/>
    <m/>
    <m/>
    <x v="4"/>
  </r>
  <r>
    <x v="91"/>
    <x v="8"/>
    <n v="169"/>
    <n v="320"/>
    <n v="0.47"/>
    <x v="0"/>
    <n v="151"/>
    <m/>
    <m/>
    <x v="4"/>
  </r>
  <r>
    <x v="92"/>
    <x v="7"/>
    <n v="699"/>
    <n v="1343"/>
    <n v="0.48"/>
    <x v="0"/>
    <n v="644"/>
    <m/>
    <m/>
    <x v="4"/>
  </r>
  <r>
    <x v="93"/>
    <x v="11"/>
    <n v="1300"/>
    <n v="2500"/>
    <n v="0.48"/>
    <x v="0"/>
    <n v="1200"/>
    <m/>
    <m/>
    <x v="4"/>
  </r>
  <r>
    <x v="94"/>
    <x v="1"/>
    <n v="105"/>
    <n v="200"/>
    <n v="0.48"/>
    <x v="0"/>
    <n v="95"/>
    <m/>
    <m/>
    <x v="4"/>
  </r>
  <r>
    <x v="95"/>
    <x v="12"/>
    <n v="475"/>
    <n v="931"/>
    <n v="0.49"/>
    <x v="0"/>
    <n v="456"/>
    <m/>
    <m/>
    <x v="4"/>
  </r>
  <r>
    <x v="96"/>
    <x v="4"/>
    <n v="671"/>
    <n v="1316"/>
    <n v="0.49"/>
    <x v="0"/>
    <n v="645"/>
    <m/>
    <m/>
    <x v="4"/>
  </r>
  <r>
    <x v="97"/>
    <x v="2"/>
    <n v="799"/>
    <n v="1567"/>
    <n v="0.49"/>
    <x v="0"/>
    <n v="768"/>
    <m/>
    <m/>
    <x v="4"/>
  </r>
  <r>
    <x v="98"/>
    <x v="14"/>
    <n v="230"/>
    <n v="450"/>
    <n v="0.49"/>
    <x v="0"/>
    <n v="220"/>
    <m/>
    <m/>
    <x v="4"/>
  </r>
  <r>
    <x v="99"/>
    <x v="16"/>
    <n v="176"/>
    <n v="345"/>
    <n v="0.49"/>
    <x v="0"/>
    <n v="169"/>
    <m/>
    <m/>
    <x v="4"/>
  </r>
  <r>
    <x v="100"/>
    <x v="4"/>
    <n v="274"/>
    <n v="537"/>
    <n v="0.49"/>
    <x v="0"/>
    <n v="263"/>
    <m/>
    <m/>
    <x v="4"/>
  </r>
  <r>
    <x v="97"/>
    <x v="2"/>
    <n v="657"/>
    <n v="1288"/>
    <n v="0.49"/>
    <x v="0"/>
    <n v="631"/>
    <m/>
    <m/>
    <x v="4"/>
  </r>
  <r>
    <x v="101"/>
    <x v="8"/>
    <n v="248"/>
    <n v="486"/>
    <n v="0.49"/>
    <x v="0"/>
    <n v="238"/>
    <m/>
    <m/>
    <x v="4"/>
  </r>
  <r>
    <x v="102"/>
    <x v="13"/>
    <n v="525"/>
    <n v="1029"/>
    <n v="0.49"/>
    <x v="0"/>
    <n v="504"/>
    <m/>
    <m/>
    <x v="4"/>
  </r>
  <r>
    <x v="103"/>
    <x v="7"/>
    <n v="238"/>
    <n v="476"/>
    <n v="0.5"/>
    <x v="0"/>
    <n v="238"/>
    <m/>
    <m/>
    <x v="4"/>
  </r>
  <r>
    <x v="104"/>
    <x v="7"/>
    <n v="999"/>
    <n v="2000"/>
    <n v="0.5"/>
    <x v="0"/>
    <n v="1001"/>
    <m/>
    <m/>
    <x v="4"/>
  </r>
  <r>
    <x v="105"/>
    <x v="1"/>
    <n v="299"/>
    <n v="600"/>
    <n v="0.5"/>
    <x v="0"/>
    <n v="301"/>
    <m/>
    <m/>
    <x v="4"/>
  </r>
  <r>
    <x v="106"/>
    <x v="7"/>
    <n v="850"/>
    <n v="1700"/>
    <n v="0.5"/>
    <x v="0"/>
    <n v="850"/>
    <m/>
    <m/>
    <x v="4"/>
  </r>
  <r>
    <x v="107"/>
    <x v="7"/>
    <n v="1200"/>
    <n v="2400"/>
    <n v="0.5"/>
    <x v="0"/>
    <n v="1200"/>
    <m/>
    <m/>
    <x v="4"/>
  </r>
  <r>
    <x v="87"/>
    <x v="7"/>
    <n v="399"/>
    <n v="896"/>
    <n v="0.55000000000000004"/>
    <x v="0"/>
    <n v="497"/>
    <m/>
    <m/>
    <x v="4"/>
  </r>
  <r>
    <x v="99"/>
    <x v="16"/>
    <n v="199"/>
    <n v="504"/>
    <n v="0.61"/>
    <x v="0"/>
    <n v="305"/>
    <m/>
    <m/>
    <x v="4"/>
  </r>
  <r>
    <x v="108"/>
    <x v="8"/>
    <n v="199"/>
    <n v="553"/>
    <n v="0.64"/>
    <x v="0"/>
    <n v="354"/>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74D38-C567-44D1-B4B7-FC855C42952E}" name="PivotTable4"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A113:B124" firstHeaderRow="1" firstDataRow="1" firstDataCol="1"/>
  <pivotFields count="10">
    <pivotField axis="axisRow" showAll="0" measureFilter="1" sortType="descending">
      <items count="110">
        <item x="47"/>
        <item x="4"/>
        <item x="46"/>
        <item x="16"/>
        <item x="21"/>
        <item x="0"/>
        <item x="73"/>
        <item x="42"/>
        <item x="1"/>
        <item x="72"/>
        <item x="60"/>
        <item x="12"/>
        <item x="57"/>
        <item x="107"/>
        <item x="79"/>
        <item x="89"/>
        <item x="29"/>
        <item x="3"/>
        <item x="85"/>
        <item x="17"/>
        <item x="101"/>
        <item x="22"/>
        <item x="95"/>
        <item x="82"/>
        <item x="31"/>
        <item x="9"/>
        <item x="6"/>
        <item x="8"/>
        <item x="77"/>
        <item x="18"/>
        <item x="108"/>
        <item x="90"/>
        <item x="74"/>
        <item x="98"/>
        <item x="36"/>
        <item x="84"/>
        <item x="81"/>
        <item x="10"/>
        <item x="97"/>
        <item x="49"/>
        <item x="35"/>
        <item x="102"/>
        <item x="83"/>
        <item x="54"/>
        <item x="91"/>
        <item x="105"/>
        <item x="96"/>
        <item x="100"/>
        <item x="76"/>
        <item x="104"/>
        <item x="92"/>
        <item x="50"/>
        <item x="99"/>
        <item x="65"/>
        <item x="80"/>
        <item x="45"/>
        <item x="52"/>
        <item x="28"/>
        <item x="2"/>
        <item x="26"/>
        <item x="14"/>
        <item x="20"/>
        <item x="55"/>
        <item x="13"/>
        <item x="51"/>
        <item x="39"/>
        <item x="30"/>
        <item x="44"/>
        <item x="33"/>
        <item x="43"/>
        <item x="78"/>
        <item x="25"/>
        <item x="32"/>
        <item x="75"/>
        <item x="37"/>
        <item x="53"/>
        <item x="15"/>
        <item x="66"/>
        <item x="103"/>
        <item x="24"/>
        <item x="86"/>
        <item x="88"/>
        <item x="64"/>
        <item x="23"/>
        <item x="69"/>
        <item x="68"/>
        <item x="48"/>
        <item x="59"/>
        <item x="71"/>
        <item x="38"/>
        <item x="7"/>
        <item x="61"/>
        <item x="19"/>
        <item x="93"/>
        <item x="5"/>
        <item x="94"/>
        <item x="58"/>
        <item x="62"/>
        <item x="87"/>
        <item x="63"/>
        <item x="11"/>
        <item x="106"/>
        <item x="67"/>
        <item x="56"/>
        <item x="70"/>
        <item x="34"/>
        <item x="27"/>
        <item x="41"/>
        <item x="40"/>
        <item t="default"/>
      </items>
      <autoSortScope>
        <pivotArea dataOnly="0" outline="0" fieldPosition="0">
          <references count="1">
            <reference field="4294967294" count="1" selected="0">
              <x v="0"/>
            </reference>
          </references>
        </pivotArea>
      </autoSortScope>
    </pivotField>
    <pivotField showAll="0" sortType="descending">
      <items count="18">
        <item x="1"/>
        <item x="4"/>
        <item x="13"/>
        <item x="3"/>
        <item x="12"/>
        <item x="16"/>
        <item x="6"/>
        <item x="10"/>
        <item x="0"/>
        <item x="7"/>
        <item x="8"/>
        <item x="5"/>
        <item x="9"/>
        <item x="14"/>
        <item x="15"/>
        <item x="2"/>
        <item x="11"/>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items count="4">
        <item x="0"/>
        <item x="2"/>
        <item x="1"/>
        <item t="default"/>
      </items>
    </pivotField>
    <pivotField numFmtId="2" showAll="0"/>
    <pivotField dataField="1" showAll="0"/>
    <pivotField showAll="0"/>
    <pivotField showAll="0">
      <items count="6">
        <item x="3"/>
        <item x="1"/>
        <item x="2"/>
        <item x="0"/>
        <item h="1" x="4"/>
        <item t="default"/>
      </items>
    </pivotField>
  </pivotFields>
  <rowFields count="1">
    <field x="0"/>
  </rowFields>
  <rowItems count="11">
    <i>
      <x v="5"/>
    </i>
    <i>
      <x v="8"/>
    </i>
    <i>
      <x v="58"/>
    </i>
    <i>
      <x v="17"/>
    </i>
    <i>
      <x v="1"/>
    </i>
    <i>
      <x v="94"/>
    </i>
    <i>
      <x v="26"/>
    </i>
    <i>
      <x v="90"/>
    </i>
    <i>
      <x v="27"/>
    </i>
    <i>
      <x v="25"/>
    </i>
    <i t="grand">
      <x/>
    </i>
  </rowItems>
  <colItems count="1">
    <i/>
  </colItems>
  <dataFields count="1">
    <dataField name="Sum of Review" fld="7" baseField="1" baseItem="0"/>
  </dataFields>
  <chartFormats count="5">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6FE8E3-EB89-4551-86EA-F8131DBA4BA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27" firstHeaderRow="1" firstDataRow="1" firstDataCol="1"/>
  <pivotFields count="10">
    <pivotField showAll="0"/>
    <pivotField showAll="0">
      <items count="18">
        <item x="1"/>
        <item x="4"/>
        <item x="13"/>
        <item x="3"/>
        <item x="12"/>
        <item x="16"/>
        <item x="6"/>
        <item x="10"/>
        <item x="0"/>
        <item x="7"/>
        <item x="8"/>
        <item x="5"/>
        <item x="9"/>
        <item x="14"/>
        <item x="15"/>
        <item x="2"/>
        <item x="11"/>
        <item t="default"/>
      </items>
    </pivotField>
    <pivotField numFmtId="2" showAll="0"/>
    <pivotField numFmtId="2" showAll="0"/>
    <pivotField numFmtId="9"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2" showAll="0"/>
    <pivotField dataField="1" showAll="0"/>
    <pivotField showAll="0"/>
    <pivotField showAll="0">
      <items count="6">
        <item x="3"/>
        <item x="1"/>
        <item x="2"/>
        <item x="0"/>
        <item h="1" x="4"/>
        <item t="default"/>
      </items>
    </pivotField>
  </pivotFields>
  <rowFields count="1">
    <field x="5"/>
  </rowFields>
  <rowItems count="4">
    <i>
      <x v="1"/>
    </i>
    <i>
      <x/>
    </i>
    <i>
      <x v="2"/>
    </i>
    <i t="grand">
      <x/>
    </i>
  </rowItems>
  <colItems count="1">
    <i/>
  </colItems>
  <dataFields count="1">
    <dataField name="Sum of Review" fld="7"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0C558C-537C-4A7D-901F-1E71E3271D6F}" name="PivotTable1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75:B86" firstHeaderRow="1" firstDataRow="1" firstDataCol="1"/>
  <pivotFields count="10">
    <pivotField axis="axisRow" showAll="0" measureFilter="1" sortType="descending">
      <items count="110">
        <item x="47"/>
        <item x="4"/>
        <item x="46"/>
        <item x="16"/>
        <item x="21"/>
        <item x="0"/>
        <item x="73"/>
        <item x="42"/>
        <item x="1"/>
        <item x="72"/>
        <item x="60"/>
        <item x="12"/>
        <item x="57"/>
        <item x="107"/>
        <item x="79"/>
        <item x="89"/>
        <item x="29"/>
        <item x="3"/>
        <item x="85"/>
        <item x="17"/>
        <item x="101"/>
        <item x="22"/>
        <item x="95"/>
        <item x="82"/>
        <item x="31"/>
        <item x="9"/>
        <item x="6"/>
        <item x="8"/>
        <item x="77"/>
        <item x="18"/>
        <item x="108"/>
        <item x="90"/>
        <item x="74"/>
        <item x="98"/>
        <item x="36"/>
        <item x="84"/>
        <item x="81"/>
        <item x="10"/>
        <item x="97"/>
        <item x="49"/>
        <item x="35"/>
        <item x="102"/>
        <item x="83"/>
        <item x="54"/>
        <item x="91"/>
        <item x="105"/>
        <item x="96"/>
        <item x="100"/>
        <item x="76"/>
        <item x="104"/>
        <item x="92"/>
        <item x="50"/>
        <item x="99"/>
        <item x="65"/>
        <item x="80"/>
        <item x="45"/>
        <item x="52"/>
        <item x="28"/>
        <item x="2"/>
        <item x="26"/>
        <item x="14"/>
        <item x="20"/>
        <item x="55"/>
        <item x="13"/>
        <item x="51"/>
        <item x="39"/>
        <item x="30"/>
        <item x="44"/>
        <item x="33"/>
        <item x="43"/>
        <item x="78"/>
        <item x="25"/>
        <item x="32"/>
        <item x="75"/>
        <item x="37"/>
        <item x="53"/>
        <item x="15"/>
        <item x="66"/>
        <item x="103"/>
        <item x="24"/>
        <item x="86"/>
        <item x="88"/>
        <item x="64"/>
        <item x="23"/>
        <item x="69"/>
        <item x="68"/>
        <item x="48"/>
        <item x="59"/>
        <item x="71"/>
        <item x="38"/>
        <item x="7"/>
        <item x="61"/>
        <item x="19"/>
        <item x="93"/>
        <item x="5"/>
        <item x="94"/>
        <item x="58"/>
        <item x="62"/>
        <item x="87"/>
        <item x="63"/>
        <item x="11"/>
        <item x="106"/>
        <item x="67"/>
        <item x="56"/>
        <item x="70"/>
        <item x="34"/>
        <item x="27"/>
        <item x="41"/>
        <item x="40"/>
        <item t="default"/>
      </items>
      <autoSortScope>
        <pivotArea dataOnly="0" outline="0" fieldPosition="0">
          <references count="1">
            <reference field="4294967294" count="1" selected="0">
              <x v="0"/>
            </reference>
          </references>
        </pivotArea>
      </autoSortScope>
    </pivotField>
    <pivotField showAll="0" sortType="descending">
      <items count="18">
        <item x="1"/>
        <item x="4"/>
        <item x="13"/>
        <item x="3"/>
        <item x="12"/>
        <item x="16"/>
        <item x="6"/>
        <item x="10"/>
        <item x="0"/>
        <item x="7"/>
        <item x="8"/>
        <item x="5"/>
        <item x="9"/>
        <item x="14"/>
        <item x="15"/>
        <item x="2"/>
        <item x="11"/>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items count="4">
        <item x="0"/>
        <item x="2"/>
        <item x="1"/>
        <item t="default"/>
      </items>
    </pivotField>
    <pivotField dataField="1" numFmtId="2" showAll="0"/>
    <pivotField showAll="0"/>
    <pivotField showAll="0"/>
    <pivotField showAll="0">
      <items count="6">
        <item x="3"/>
        <item x="1"/>
        <item x="2"/>
        <item x="0"/>
        <item h="1" x="4"/>
        <item t="default"/>
      </items>
    </pivotField>
  </pivotFields>
  <rowFields count="1">
    <field x="0"/>
  </rowFields>
  <rowItems count="11">
    <i>
      <x v="29"/>
    </i>
    <i>
      <x v="66"/>
    </i>
    <i>
      <x v="108"/>
    </i>
    <i>
      <x v="67"/>
    </i>
    <i>
      <x v="71"/>
    </i>
    <i>
      <x v="69"/>
    </i>
    <i>
      <x v="57"/>
    </i>
    <i>
      <x v="7"/>
    </i>
    <i>
      <x v="56"/>
    </i>
    <i>
      <x v="75"/>
    </i>
    <i t="grand">
      <x/>
    </i>
  </rowItems>
  <colItems count="1">
    <i/>
  </colItems>
  <dataFields count="1">
    <dataField name="Sum of Total Discount" fld="6" baseField="0" baseItem="0" numFmtId="2"/>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EBC2E8-8D1C-4486-82AC-38313585517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B19" firstHeaderRow="1" firstDataRow="1" firstDataCol="1"/>
  <pivotFields count="10">
    <pivotField showAll="0"/>
    <pivotField showAll="0">
      <items count="18">
        <item x="1"/>
        <item x="4"/>
        <item x="13"/>
        <item x="3"/>
        <item x="12"/>
        <item x="16"/>
        <item x="6"/>
        <item x="10"/>
        <item x="0"/>
        <item x="7"/>
        <item x="8"/>
        <item x="5"/>
        <item x="9"/>
        <item x="14"/>
        <item x="15"/>
        <item x="2"/>
        <item x="11"/>
        <item t="default"/>
      </items>
    </pivotField>
    <pivotField numFmtId="2" showAll="0"/>
    <pivotField numFmtId="2" showAll="0"/>
    <pivotField numFmtId="9" showAll="0"/>
    <pivotField axis="axisRow" showAll="0">
      <items count="4">
        <item x="0"/>
        <item x="2"/>
        <item x="1"/>
        <item t="default"/>
      </items>
    </pivotField>
    <pivotField numFmtId="2" showAll="0"/>
    <pivotField showAll="0"/>
    <pivotField dataField="1" showAll="0"/>
    <pivotField showAll="0">
      <items count="6">
        <item x="3"/>
        <item x="1"/>
        <item x="2"/>
        <item x="0"/>
        <item h="1" x="4"/>
        <item t="default"/>
      </items>
    </pivotField>
  </pivotFields>
  <rowFields count="1">
    <field x="5"/>
  </rowFields>
  <rowItems count="4">
    <i>
      <x/>
    </i>
    <i>
      <x v="1"/>
    </i>
    <i>
      <x v="2"/>
    </i>
    <i t="grand">
      <x/>
    </i>
  </rowItems>
  <colItems count="1">
    <i/>
  </colItems>
  <dataFields count="1">
    <dataField name="Average of Ratings" fld="8" subtotal="average" baseField="4"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75D0CD-AD24-4994-A144-64225D688C7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1" firstHeaderRow="1" firstDataRow="1" firstDataCol="1"/>
  <pivotFields count="10">
    <pivotField axis="axisRow" showAll="0" measureFilter="1">
      <items count="110">
        <item x="47"/>
        <item x="4"/>
        <item x="46"/>
        <item x="16"/>
        <item x="21"/>
        <item x="0"/>
        <item x="73"/>
        <item x="42"/>
        <item x="1"/>
        <item x="72"/>
        <item x="60"/>
        <item x="12"/>
        <item x="57"/>
        <item x="107"/>
        <item x="79"/>
        <item x="89"/>
        <item x="29"/>
        <item x="3"/>
        <item x="85"/>
        <item x="17"/>
        <item x="101"/>
        <item x="22"/>
        <item x="95"/>
        <item x="82"/>
        <item x="31"/>
        <item x="9"/>
        <item x="6"/>
        <item x="8"/>
        <item x="77"/>
        <item x="18"/>
        <item x="108"/>
        <item x="90"/>
        <item x="74"/>
        <item x="98"/>
        <item x="36"/>
        <item x="84"/>
        <item x="81"/>
        <item x="10"/>
        <item x="97"/>
        <item x="49"/>
        <item x="35"/>
        <item x="102"/>
        <item x="83"/>
        <item x="54"/>
        <item x="91"/>
        <item x="105"/>
        <item x="96"/>
        <item x="100"/>
        <item x="76"/>
        <item x="104"/>
        <item x="92"/>
        <item x="50"/>
        <item x="99"/>
        <item x="65"/>
        <item x="80"/>
        <item x="45"/>
        <item x="52"/>
        <item x="28"/>
        <item x="2"/>
        <item x="26"/>
        <item x="14"/>
        <item x="20"/>
        <item x="55"/>
        <item x="13"/>
        <item x="51"/>
        <item x="39"/>
        <item x="30"/>
        <item x="44"/>
        <item x="33"/>
        <item x="43"/>
        <item x="78"/>
        <item x="25"/>
        <item x="32"/>
        <item x="75"/>
        <item x="37"/>
        <item x="53"/>
        <item x="15"/>
        <item x="66"/>
        <item x="103"/>
        <item x="24"/>
        <item x="86"/>
        <item x="88"/>
        <item x="64"/>
        <item x="23"/>
        <item x="69"/>
        <item x="68"/>
        <item x="48"/>
        <item x="59"/>
        <item x="71"/>
        <item x="38"/>
        <item x="7"/>
        <item x="61"/>
        <item x="19"/>
        <item x="93"/>
        <item x="5"/>
        <item x="94"/>
        <item x="58"/>
        <item x="62"/>
        <item x="87"/>
        <item x="63"/>
        <item x="11"/>
        <item x="106"/>
        <item x="67"/>
        <item x="56"/>
        <item x="70"/>
        <item x="34"/>
        <item x="27"/>
        <item x="41"/>
        <item x="40"/>
        <item t="default"/>
      </items>
    </pivotField>
    <pivotField showAll="0">
      <items count="18">
        <item x="1"/>
        <item x="4"/>
        <item x="13"/>
        <item x="3"/>
        <item x="12"/>
        <item x="16"/>
        <item x="6"/>
        <item x="10"/>
        <item x="0"/>
        <item x="7"/>
        <item x="8"/>
        <item x="5"/>
        <item x="9"/>
        <item x="14"/>
        <item x="15"/>
        <item x="2"/>
        <item x="11"/>
        <item t="default"/>
      </items>
    </pivotField>
    <pivotField dataField="1" numFmtId="2" showAll="0"/>
    <pivotField numFmtId="2" showAll="0"/>
    <pivotField numFmtId="9" showAll="0"/>
    <pivotField showAll="0">
      <items count="4">
        <item x="0"/>
        <item x="2"/>
        <item x="1"/>
        <item t="default"/>
      </items>
    </pivotField>
    <pivotField numFmtId="2" showAll="0"/>
    <pivotField showAll="0"/>
    <pivotField showAll="0"/>
    <pivotField showAll="0">
      <items count="6">
        <item x="3"/>
        <item x="1"/>
        <item x="2"/>
        <item x="0"/>
        <item h="1" x="4"/>
        <item t="default"/>
      </items>
    </pivotField>
  </pivotFields>
  <rowFields count="1">
    <field x="0"/>
  </rowFields>
  <rowItems count="2">
    <i>
      <x v="19"/>
    </i>
    <i t="grand">
      <x/>
    </i>
  </rowItems>
  <colItems count="1">
    <i/>
  </colItems>
  <dataFields count="1">
    <dataField name="Sum of Current price" fld="2" baseField="0" baseItem="0" numFmtId="2"/>
  </dataFields>
  <pivotTableStyleInfo name="PivotStyleLight16" showRowHeaders="1" showColHeaders="1" showRowStripes="0" showColStripes="0" showLastColumn="1"/>
  <filters count="1">
    <filter fld="0" type="count" evalOrder="-1" id="4"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BB98D6-E908-4D00-B6F8-42743D4BF29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0">
    <pivotField axis="axisRow" showAll="0" measureFilter="1" sortType="descending">
      <items count="110">
        <item x="47"/>
        <item x="4"/>
        <item x="46"/>
        <item x="16"/>
        <item x="21"/>
        <item x="0"/>
        <item x="73"/>
        <item x="42"/>
        <item x="1"/>
        <item x="72"/>
        <item x="60"/>
        <item x="12"/>
        <item x="57"/>
        <item x="107"/>
        <item x="79"/>
        <item x="89"/>
        <item x="40"/>
        <item x="29"/>
        <item x="3"/>
        <item x="85"/>
        <item x="17"/>
        <item x="101"/>
        <item x="22"/>
        <item x="95"/>
        <item x="82"/>
        <item x="31"/>
        <item x="9"/>
        <item x="6"/>
        <item x="8"/>
        <item x="77"/>
        <item x="18"/>
        <item x="108"/>
        <item x="90"/>
        <item x="74"/>
        <item x="98"/>
        <item x="36"/>
        <item x="84"/>
        <item x="81"/>
        <item x="10"/>
        <item x="97"/>
        <item x="49"/>
        <item x="35"/>
        <item x="102"/>
        <item x="83"/>
        <item x="54"/>
        <item x="91"/>
        <item x="105"/>
        <item x="96"/>
        <item x="100"/>
        <item x="76"/>
        <item x="104"/>
        <item x="92"/>
        <item x="50"/>
        <item x="99"/>
        <item x="65"/>
        <item x="80"/>
        <item x="45"/>
        <item x="52"/>
        <item x="28"/>
        <item x="2"/>
        <item x="26"/>
        <item x="14"/>
        <item x="20"/>
        <item x="55"/>
        <item x="13"/>
        <item x="51"/>
        <item x="39"/>
        <item x="30"/>
        <item x="44"/>
        <item x="33"/>
        <item x="43"/>
        <item x="78"/>
        <item x="25"/>
        <item x="32"/>
        <item x="75"/>
        <item x="37"/>
        <item x="53"/>
        <item x="15"/>
        <item x="66"/>
        <item x="103"/>
        <item x="24"/>
        <item x="86"/>
        <item x="88"/>
        <item x="64"/>
        <item x="23"/>
        <item x="69"/>
        <item x="68"/>
        <item x="48"/>
        <item x="59"/>
        <item x="71"/>
        <item x="38"/>
        <item x="7"/>
        <item x="61"/>
        <item x="19"/>
        <item x="93"/>
        <item x="5"/>
        <item x="94"/>
        <item x="58"/>
        <item x="62"/>
        <item x="87"/>
        <item x="63"/>
        <item x="11"/>
        <item x="106"/>
        <item x="67"/>
        <item x="56"/>
        <item x="70"/>
        <item x="34"/>
        <item x="27"/>
        <item x="41"/>
        <item t="default"/>
      </items>
      <autoSortScope>
        <pivotArea dataOnly="0" outline="0" fieldPosition="0">
          <references count="1">
            <reference field="4294967294" count="1" selected="0">
              <x v="0"/>
            </reference>
          </references>
        </pivotArea>
      </autoSortScope>
    </pivotField>
    <pivotField showAll="0">
      <items count="18">
        <item x="1"/>
        <item x="4"/>
        <item x="13"/>
        <item x="3"/>
        <item x="12"/>
        <item x="16"/>
        <item x="6"/>
        <item x="10"/>
        <item x="0"/>
        <item x="7"/>
        <item x="8"/>
        <item x="5"/>
        <item x="9"/>
        <item x="14"/>
        <item x="15"/>
        <item x="2"/>
        <item x="11"/>
        <item t="default"/>
      </items>
    </pivotField>
    <pivotField dataField="1" numFmtId="2" showAll="0"/>
    <pivotField numFmtId="2" showAll="0"/>
    <pivotField numFmtId="9" showAll="0"/>
    <pivotField showAll="0">
      <items count="4">
        <item x="0"/>
        <item x="2"/>
        <item x="1"/>
        <item t="default"/>
      </items>
    </pivotField>
    <pivotField numFmtId="2" showAll="0"/>
    <pivotField showAll="0"/>
    <pivotField showAll="0"/>
    <pivotField showAll="0">
      <items count="6">
        <item x="3"/>
        <item x="1"/>
        <item x="2"/>
        <item x="0"/>
        <item h="1" x="4"/>
        <item t="default"/>
      </items>
    </pivotField>
  </pivotFields>
  <rowFields count="1">
    <field x="0"/>
  </rowFields>
  <rowItems count="2">
    <i>
      <x v="16"/>
    </i>
    <i t="grand">
      <x/>
    </i>
  </rowItems>
  <colItems count="1">
    <i/>
  </colItems>
  <dataFields count="1">
    <dataField name="Sum of Current price" fld="2" baseField="0" baseItem="0" numFmtId="2"/>
  </dataFields>
  <pivotTableStyleInfo name="PivotStyleLight16" showRowHeaders="1" showColHeaders="1" showRowStripes="0" showColStripes="0" showLastColumn="1"/>
  <filters count="1">
    <filter fld="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D2B868-97C5-4E4F-9895-165450A4D5DA}" name="PivotTable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41:B52" firstHeaderRow="1" firstDataRow="1" firstDataCol="1"/>
  <pivotFields count="10">
    <pivotField showAll="0" measureFilter="1" sortType="descending">
      <items count="110">
        <item x="47"/>
        <item x="4"/>
        <item x="46"/>
        <item x="16"/>
        <item x="21"/>
        <item x="0"/>
        <item x="73"/>
        <item x="42"/>
        <item x="1"/>
        <item x="72"/>
        <item x="60"/>
        <item x="12"/>
        <item x="57"/>
        <item x="107"/>
        <item x="79"/>
        <item x="89"/>
        <item x="29"/>
        <item x="3"/>
        <item x="85"/>
        <item x="17"/>
        <item x="101"/>
        <item x="22"/>
        <item x="95"/>
        <item x="82"/>
        <item x="31"/>
        <item x="9"/>
        <item x="6"/>
        <item x="8"/>
        <item x="77"/>
        <item x="18"/>
        <item x="108"/>
        <item x="90"/>
        <item x="74"/>
        <item x="98"/>
        <item x="36"/>
        <item x="84"/>
        <item x="81"/>
        <item x="10"/>
        <item x="97"/>
        <item x="49"/>
        <item x="35"/>
        <item x="102"/>
        <item x="83"/>
        <item x="54"/>
        <item x="91"/>
        <item x="105"/>
        <item x="96"/>
        <item x="100"/>
        <item x="76"/>
        <item x="104"/>
        <item x="92"/>
        <item x="50"/>
        <item x="99"/>
        <item x="65"/>
        <item x="80"/>
        <item x="45"/>
        <item x="52"/>
        <item x="28"/>
        <item x="2"/>
        <item x="26"/>
        <item x="14"/>
        <item x="20"/>
        <item x="55"/>
        <item x="13"/>
        <item x="51"/>
        <item x="39"/>
        <item x="30"/>
        <item x="44"/>
        <item x="33"/>
        <item x="43"/>
        <item x="78"/>
        <item x="25"/>
        <item x="32"/>
        <item x="75"/>
        <item x="37"/>
        <item x="53"/>
        <item x="15"/>
        <item x="66"/>
        <item x="103"/>
        <item x="24"/>
        <item x="86"/>
        <item x="88"/>
        <item x="64"/>
        <item x="23"/>
        <item x="69"/>
        <item x="68"/>
        <item x="48"/>
        <item x="59"/>
        <item x="71"/>
        <item x="38"/>
        <item x="7"/>
        <item x="61"/>
        <item x="19"/>
        <item x="93"/>
        <item x="5"/>
        <item x="94"/>
        <item x="58"/>
        <item x="62"/>
        <item x="87"/>
        <item x="63"/>
        <item x="11"/>
        <item x="106"/>
        <item x="67"/>
        <item x="56"/>
        <item x="70"/>
        <item x="34"/>
        <item x="27"/>
        <item x="41"/>
        <item x="40"/>
        <item t="default"/>
      </items>
      <autoSortScope>
        <pivotArea dataOnly="0" outline="0" fieldPosition="0">
          <references count="1">
            <reference field="4294967294" count="1" selected="0">
              <x v="0"/>
            </reference>
          </references>
        </pivotArea>
      </autoSortScope>
    </pivotField>
    <pivotField axis="axisRow" showAll="0" measureFilter="1" sortType="descending">
      <items count="18">
        <item x="1"/>
        <item x="4"/>
        <item x="13"/>
        <item x="3"/>
        <item x="12"/>
        <item x="16"/>
        <item x="6"/>
        <item x="10"/>
        <item x="0"/>
        <item x="7"/>
        <item x="8"/>
        <item x="5"/>
        <item x="9"/>
        <item x="14"/>
        <item x="15"/>
        <item x="2"/>
        <item x="11"/>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items count="4">
        <item x="0"/>
        <item x="2"/>
        <item x="1"/>
        <item t="default"/>
      </items>
    </pivotField>
    <pivotField numFmtId="2" showAll="0"/>
    <pivotField showAll="0"/>
    <pivotField dataField="1" showAll="0"/>
    <pivotField showAll="0">
      <items count="6">
        <item x="3"/>
        <item x="1"/>
        <item x="2"/>
        <item x="0"/>
        <item h="1" x="4"/>
        <item t="default"/>
      </items>
    </pivotField>
  </pivotFields>
  <rowFields count="1">
    <field x="1"/>
  </rowFields>
  <rowItems count="11">
    <i>
      <x v="12"/>
    </i>
    <i>
      <x v="1"/>
    </i>
    <i>
      <x/>
    </i>
    <i>
      <x v="6"/>
    </i>
    <i>
      <x v="15"/>
    </i>
    <i>
      <x v="7"/>
    </i>
    <i>
      <x v="9"/>
    </i>
    <i>
      <x v="10"/>
    </i>
    <i>
      <x v="3"/>
    </i>
    <i>
      <x v="8"/>
    </i>
    <i t="grand">
      <x/>
    </i>
  </rowItems>
  <colItems count="1">
    <i/>
  </colItems>
  <dataFields count="1">
    <dataField name="Average of Ratings" fld="8" subtotal="average" baseField="1"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7" iMeasureFld="0">
      <autoFilter ref="A1">
        <filterColumn colId="0">
          <top10 val="10" filterVal="10"/>
        </filterColumn>
      </autoFilter>
    </filter>
    <filter fld="1"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23BC8-397F-4B92-B2FC-55F304E6AAD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37" firstHeaderRow="1" firstDataRow="1" firstDataCol="1"/>
  <pivotFields count="10">
    <pivotField showAll="0"/>
    <pivotField showAll="0">
      <items count="18">
        <item x="1"/>
        <item x="4"/>
        <item x="13"/>
        <item x="3"/>
        <item x="12"/>
        <item x="16"/>
        <item x="6"/>
        <item x="10"/>
        <item x="0"/>
        <item x="7"/>
        <item x="8"/>
        <item x="5"/>
        <item x="9"/>
        <item x="14"/>
        <item x="15"/>
        <item x="2"/>
        <item x="11"/>
        <item t="default"/>
      </items>
    </pivotField>
    <pivotField numFmtId="2" showAll="0"/>
    <pivotField numFmtId="2" showAll="0"/>
    <pivotField numFmtId="9"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 showAll="0"/>
    <pivotField dataField="1" showAll="0"/>
    <pivotField showAll="0"/>
    <pivotField axis="axisRow" showAll="0" sortType="descending">
      <items count="6">
        <item x="3"/>
        <item x="1"/>
        <item x="2"/>
        <item x="0"/>
        <item h="1" x="4"/>
        <item t="default"/>
      </items>
      <autoSortScope>
        <pivotArea dataOnly="0" outline="0" fieldPosition="0">
          <references count="1">
            <reference field="4294967294" count="1" selected="0">
              <x v="0"/>
            </reference>
          </references>
        </pivotArea>
      </autoSortScope>
    </pivotField>
  </pivotFields>
  <rowFields count="1">
    <field x="9"/>
  </rowFields>
  <rowItems count="5">
    <i>
      <x v="1"/>
    </i>
    <i>
      <x v="3"/>
    </i>
    <i>
      <x v="2"/>
    </i>
    <i>
      <x/>
    </i>
    <i t="grand">
      <x/>
    </i>
  </rowItems>
  <colItems count="1">
    <i/>
  </colItems>
  <dataFields count="1">
    <dataField name="Sum of Review" fld="7" baseField="8" baseItem="1"/>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C5F05A-F3B4-45AA-B7E9-15FE1EEDBBE9}"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93:C97" firstHeaderRow="0" firstDataRow="1" firstDataCol="1"/>
  <pivotFields count="10">
    <pivotField showAll="0"/>
    <pivotField showAll="0">
      <items count="18">
        <item x="1"/>
        <item x="4"/>
        <item x="13"/>
        <item x="3"/>
        <item x="12"/>
        <item x="16"/>
        <item x="6"/>
        <item x="10"/>
        <item x="0"/>
        <item x="7"/>
        <item x="8"/>
        <item x="5"/>
        <item x="9"/>
        <item x="14"/>
        <item x="15"/>
        <item x="2"/>
        <item x="11"/>
        <item t="default"/>
      </items>
    </pivotField>
    <pivotField numFmtId="2" showAll="0"/>
    <pivotField numFmtId="2" showAll="0"/>
    <pivotField dataField="1" numFmtId="9" showAll="0"/>
    <pivotField axis="axisRow" showAll="0">
      <items count="4">
        <item x="0"/>
        <item x="2"/>
        <item x="1"/>
        <item t="default"/>
      </items>
    </pivotField>
    <pivotField numFmtId="2" showAll="0"/>
    <pivotField dataField="1" showAll="0"/>
    <pivotField showAll="0"/>
    <pivotField showAll="0">
      <items count="6">
        <item x="3"/>
        <item x="1"/>
        <item x="2"/>
        <item x="0"/>
        <item h="1" x="4"/>
        <item t="default"/>
      </items>
    </pivotField>
  </pivotFields>
  <rowFields count="1">
    <field x="5"/>
  </rowFields>
  <rowItems count="4">
    <i>
      <x/>
    </i>
    <i>
      <x v="1"/>
    </i>
    <i>
      <x v="2"/>
    </i>
    <i t="grand">
      <x/>
    </i>
  </rowItems>
  <colFields count="1">
    <field x="-2"/>
  </colFields>
  <colItems count="2">
    <i>
      <x/>
    </i>
    <i i="1">
      <x v="1"/>
    </i>
  </colItems>
  <dataFields count="2">
    <dataField name="Average of Discount" fld="4" subtotal="average" baseField="0" baseItem="1" numFmtId="9"/>
    <dataField name="Sum of Review"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87F7B4DF-1494-488E-94C0-720246AB9C20}" sourceName="Discount Band">
  <pivotTables>
    <pivotTable tabId="3" name="PivotTable7"/>
    <pivotTable tabId="3" name="PivotTable1"/>
    <pivotTable tabId="3" name="PivotTable11"/>
    <pivotTable tabId="3" name="PivotTable12"/>
    <pivotTable tabId="3" name="PivotTable2"/>
    <pivotTable tabId="3" name="PivotTable3"/>
    <pivotTable tabId="3" name="PivotTable5"/>
    <pivotTable tabId="3" name="PivotTable6"/>
    <pivotTable tabId="3" name="PivotTable4"/>
  </pivotTables>
  <data>
    <tabular pivotCacheId="23019793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0498010-0448-4022-9284-2584495FAFE3}" sourceName="Rating Category">
  <pivotTables>
    <pivotTable tabId="3" name="PivotTable7"/>
    <pivotTable tabId="3" name="PivotTable1"/>
    <pivotTable tabId="3" name="PivotTable11"/>
    <pivotTable tabId="3" name="PivotTable12"/>
    <pivotTable tabId="3" name="PivotTable2"/>
    <pivotTable tabId="3" name="PivotTable3"/>
    <pivotTable tabId="3" name="PivotTable5"/>
    <pivotTable tabId="3" name="PivotTable6"/>
    <pivotTable tabId="3" name="PivotTable4"/>
  </pivotTables>
  <data>
    <tabular pivotCacheId="230197933">
      <items count="5">
        <i x="3" s="1"/>
        <i x="1" s="1"/>
        <i x="2" s="1"/>
        <i x="0"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49F0854-4BE6-40A8-BDCB-170D1D17783B}" sourceName="Product Category">
  <pivotTables>
    <pivotTable tabId="3" name="PivotTable11"/>
    <pivotTable tabId="3" name="PivotTable1"/>
    <pivotTable tabId="3" name="PivotTable12"/>
    <pivotTable tabId="3" name="PivotTable2"/>
    <pivotTable tabId="3" name="PivotTable3"/>
    <pivotTable tabId="3" name="PivotTable5"/>
    <pivotTable tabId="3" name="PivotTable6"/>
    <pivotTable tabId="3" name="PivotTable7"/>
    <pivotTable tabId="3" name="PivotTable4"/>
  </pivotTables>
  <data>
    <tabular pivotCacheId="230197933">
      <items count="17">
        <i x="1" s="1"/>
        <i x="4" s="1"/>
        <i x="3" s="1"/>
        <i x="12" s="1"/>
        <i x="6" s="1"/>
        <i x="10" s="1"/>
        <i x="0" s="1"/>
        <i x="7" s="1"/>
        <i x="8" s="1"/>
        <i x="5" s="1"/>
        <i x="9" s="1"/>
        <i x="2" s="1"/>
        <i x="11" s="1"/>
        <i x="13" s="1" nd="1"/>
        <i x="16" s="1" nd="1"/>
        <i x="14" s="1" nd="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761D03BC-135C-4595-A50B-B183B8246AF1}" cache="Slicer_Discount_Band" caption="Discount Band" rowHeight="234950"/>
  <slicer name="Rating Category" xr10:uid="{7BC66D8C-CC05-4BEC-B56F-704FD67555F8}" cache="Slicer_Rating_Category" caption="Rating Category" rowHeight="234950"/>
  <slicer name="Product Category" xr10:uid="{677FA72F-7DA2-4760-81B0-F5631E428D09}"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1" xr10:uid="{B91C2B06-A1BE-4FF6-9C28-051610778251}" cache="Slicer_Discount_Band" caption="Discount Band" style="SlicerStyleDark2" rowHeight="234950"/>
  <slicer name="Rating Category 1" xr10:uid="{02D097F5-12C8-4D61-AD7E-80EC1E033E59}" cache="Slicer_Rating_Category" caption="Rating Category" style="SlicerStyleDark2" rowHeight="234950"/>
  <slicer name="Product Category 1" xr10:uid="{9D2BEFCD-7431-4311-92F0-EE2E7F0D9900}" cache="Slicer_Product_Category" caption="Product Category" startItem="3"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DE0A6C-9B10-4E01-8F6F-EB2CABFA37EA}" name="Table1" displayName="Table1" ref="A1:J114" totalsRowCount="1">
  <autoFilter ref="A1:J113" xr:uid="{98DE0A6C-9B10-4E01-8F6F-EB2CABFA37EA}"/>
  <tableColumns count="10">
    <tableColumn id="1" xr3:uid="{9CE691A6-04C5-43C2-9B3F-E298FFB33335}" name="Product" totalsRowFunction="custom">
      <totalsRowFormula>COUNTA(Table1[Product])</totalsRowFormula>
    </tableColumn>
    <tableColumn id="11" xr3:uid="{6650D535-311C-44BA-B48D-578F57239AFD}" name="Product Category"/>
    <tableColumn id="2" xr3:uid="{0933744D-BE3F-4D94-B451-42196345B9F5}" name="Current price" totalsRowFunction="average" dataDxfId="13" totalsRowDxfId="12"/>
    <tableColumn id="3" xr3:uid="{6765CB34-DF76-4153-876A-A575C3ADDA3F}" name="Old price" totalsRowFunction="average" dataDxfId="11" totalsRowDxfId="10"/>
    <tableColumn id="4" xr3:uid="{7E5D2828-3B4D-40AA-8B39-5BBDEAAA9993}" name="Discount" totalsRowFunction="average" dataDxfId="9" totalsRowDxfId="8"/>
    <tableColumn id="5" xr3:uid="{B6744433-2DDB-4805-9A43-31E0CCBCBC29}" name="Discount Band" dataDxfId="7" totalsRowDxfId="6">
      <calculatedColumnFormula>IF(E2&lt;20%, "Low Discount", IF(E2&lt;=40%, "Medium Discount", "High Discount"))</calculatedColumnFormula>
    </tableColumn>
    <tableColumn id="6" xr3:uid="{2A21CED4-AB8F-4EDD-B5FE-D79CF955861F}" name="Total Discount" totalsRowFunction="average" dataDxfId="5" totalsRowDxfId="4">
      <calculatedColumnFormula>D2-C2</calculatedColumnFormula>
    </tableColumn>
    <tableColumn id="7" xr3:uid="{3AD792D2-5586-4D72-8685-9E43997EB651}" name="Review" totalsRowFunction="sum" dataDxfId="3" totalsRowDxfId="2"/>
    <tableColumn id="8" xr3:uid="{29B2164A-9517-44AF-8BC2-35F7D471EB65}" name="Ratings" totalsRowFunction="average" dataDxfId="1" totalsRowDxfId="0"/>
    <tableColumn id="9" xr3:uid="{E51406E4-D60C-4F3B-9C4D-98B5006CFA96}" name="Rating Categor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5E62-4153-46AF-9EF6-FCB9F9709F4E}">
  <dimension ref="A1:I116"/>
  <sheetViews>
    <sheetView tabSelected="1" workbookViewId="0">
      <selection activeCell="J10" sqref="J10"/>
    </sheetView>
  </sheetViews>
  <sheetFormatPr defaultRowHeight="14.4" x14ac:dyDescent="0.3"/>
  <cols>
    <col min="1" max="1" width="87.88671875" bestFit="1" customWidth="1"/>
    <col min="2" max="3" width="18.33203125" style="4" bestFit="1" customWidth="1"/>
    <col min="4" max="4" width="8.109375" style="1" bestFit="1" customWidth="1"/>
    <col min="5" max="5" width="15.44140625" style="1" bestFit="1" customWidth="1"/>
    <col min="6" max="6" width="8.109375" style="1" customWidth="1"/>
    <col min="7" max="7" width="6.88671875" bestFit="1" customWidth="1"/>
    <col min="8" max="8" width="10.44140625" style="7" bestFit="1" customWidth="1"/>
    <col min="9" max="9" width="14.44140625" bestFit="1" customWidth="1"/>
  </cols>
  <sheetData>
    <row r="1" spans="1:9" x14ac:dyDescent="0.3">
      <c r="A1" s="2" t="s">
        <v>0</v>
      </c>
      <c r="B1" s="3" t="s">
        <v>1</v>
      </c>
      <c r="C1" s="3" t="s">
        <v>113</v>
      </c>
      <c r="D1" s="5" t="s">
        <v>2</v>
      </c>
      <c r="E1" s="5" t="s">
        <v>119</v>
      </c>
      <c r="F1" s="5" t="s">
        <v>117</v>
      </c>
      <c r="G1" s="2" t="s">
        <v>3</v>
      </c>
      <c r="H1" s="6" t="s">
        <v>114</v>
      </c>
      <c r="I1" s="2" t="s">
        <v>118</v>
      </c>
    </row>
    <row r="2" spans="1:9" x14ac:dyDescent="0.3">
      <c r="A2" t="s">
        <v>65</v>
      </c>
      <c r="B2" s="4">
        <v>445</v>
      </c>
      <c r="C2" s="4">
        <v>873</v>
      </c>
      <c r="D2" s="1">
        <v>0.49</v>
      </c>
      <c r="E2" s="1" t="str">
        <f>IF(D2&lt;20%, "Low Discount", IF(D2&lt;=40%, "Medium Discount", "High Discount"))</f>
        <v>High Discount</v>
      </c>
      <c r="F2" s="8">
        <f t="shared" ref="F2:F48" si="0">C2-B2</f>
        <v>428</v>
      </c>
      <c r="G2">
        <v>69</v>
      </c>
      <c r="H2" s="7">
        <v>2.8</v>
      </c>
      <c r="I2" t="str">
        <f>IF(H2 &lt;=3, "Poor", IF(H2 &lt; 4.5, "Average", "Excellent"))</f>
        <v>Poor</v>
      </c>
    </row>
    <row r="3" spans="1:9" x14ac:dyDescent="0.3">
      <c r="A3" t="s">
        <v>10</v>
      </c>
      <c r="B3" s="4">
        <v>2319</v>
      </c>
      <c r="C3" s="4">
        <v>3032</v>
      </c>
      <c r="D3" s="1">
        <v>0.24</v>
      </c>
      <c r="E3" s="1" t="str">
        <f t="shared" ref="E3:E66" si="1">IF(D3&lt;20%, "Low Discount", IF(D3&lt;=40%, "Medium Discount", "High Discount"))</f>
        <v>Medium Discount</v>
      </c>
      <c r="F3" s="8">
        <f t="shared" si="0"/>
        <v>713</v>
      </c>
      <c r="G3">
        <v>55</v>
      </c>
      <c r="H3" s="7">
        <v>4.5999999999999996</v>
      </c>
      <c r="I3" t="str">
        <f t="shared" ref="I3:I58" si="2">IF(H3 &lt;=3, "Poor", IF(H3 &lt; 4.5, "Average", "Excellent"))</f>
        <v>Excellent</v>
      </c>
    </row>
    <row r="4" spans="1:9" x14ac:dyDescent="0.3">
      <c r="A4" t="s">
        <v>29</v>
      </c>
      <c r="B4" s="4">
        <v>420</v>
      </c>
      <c r="C4" s="4">
        <v>647</v>
      </c>
      <c r="D4" s="1">
        <v>0.35</v>
      </c>
      <c r="E4" s="1" t="str">
        <f t="shared" si="1"/>
        <v>Medium Discount</v>
      </c>
      <c r="F4" s="8">
        <f t="shared" si="0"/>
        <v>227</v>
      </c>
      <c r="G4">
        <v>49</v>
      </c>
      <c r="H4" s="7">
        <v>4.5999999999999996</v>
      </c>
      <c r="I4" t="str">
        <f t="shared" si="2"/>
        <v>Excellent</v>
      </c>
    </row>
    <row r="5" spans="1:9" x14ac:dyDescent="0.3">
      <c r="A5" t="s">
        <v>23</v>
      </c>
      <c r="B5" s="4">
        <v>998</v>
      </c>
      <c r="C5" s="4">
        <v>1966</v>
      </c>
      <c r="D5" s="1">
        <v>0.49</v>
      </c>
      <c r="E5" s="1" t="str">
        <f t="shared" si="1"/>
        <v>High Discount</v>
      </c>
      <c r="F5" s="8">
        <f t="shared" si="0"/>
        <v>968</v>
      </c>
      <c r="G5">
        <v>44</v>
      </c>
      <c r="H5" s="7">
        <v>4.5999999999999996</v>
      </c>
      <c r="I5" t="str">
        <f t="shared" si="2"/>
        <v>Excellent</v>
      </c>
    </row>
    <row r="6" spans="1:9" x14ac:dyDescent="0.3">
      <c r="A6" t="s">
        <v>15</v>
      </c>
      <c r="B6" s="4">
        <v>990</v>
      </c>
      <c r="C6" s="4">
        <v>1500</v>
      </c>
      <c r="D6" s="1">
        <v>0.34</v>
      </c>
      <c r="E6" s="1" t="str">
        <f t="shared" si="1"/>
        <v>Medium Discount</v>
      </c>
      <c r="F6" s="8">
        <f t="shared" si="0"/>
        <v>510</v>
      </c>
      <c r="G6">
        <v>39</v>
      </c>
      <c r="H6" s="7">
        <v>4.7</v>
      </c>
      <c r="I6" t="str">
        <f t="shared" si="2"/>
        <v>Excellent</v>
      </c>
    </row>
    <row r="7" spans="1:9" x14ac:dyDescent="0.3">
      <c r="A7" t="s">
        <v>41</v>
      </c>
      <c r="B7" s="4">
        <v>389</v>
      </c>
      <c r="C7" s="4">
        <v>656</v>
      </c>
      <c r="D7" s="1">
        <v>0.41</v>
      </c>
      <c r="E7" s="1" t="str">
        <f t="shared" si="1"/>
        <v>High Discount</v>
      </c>
      <c r="F7" s="8">
        <f t="shared" si="0"/>
        <v>267</v>
      </c>
      <c r="G7">
        <v>36</v>
      </c>
      <c r="H7" s="7">
        <v>4.3</v>
      </c>
      <c r="I7" t="str">
        <f t="shared" si="2"/>
        <v>Average</v>
      </c>
    </row>
    <row r="8" spans="1:9" x14ac:dyDescent="0.3">
      <c r="A8" t="s">
        <v>38</v>
      </c>
      <c r="B8" s="4">
        <v>1980</v>
      </c>
      <c r="C8" s="4">
        <v>2699</v>
      </c>
      <c r="D8" s="1">
        <v>0.27</v>
      </c>
      <c r="E8" s="1" t="str">
        <f t="shared" si="1"/>
        <v>Medium Discount</v>
      </c>
      <c r="F8" s="8">
        <f t="shared" si="0"/>
        <v>719</v>
      </c>
      <c r="G8">
        <v>32</v>
      </c>
      <c r="H8" s="7">
        <v>4.5</v>
      </c>
      <c r="I8" t="str">
        <f t="shared" si="2"/>
        <v>Excellent</v>
      </c>
    </row>
    <row r="9" spans="1:9" x14ac:dyDescent="0.3">
      <c r="A9" t="s">
        <v>6</v>
      </c>
      <c r="B9" s="4">
        <v>2199</v>
      </c>
      <c r="C9" s="4">
        <v>2923</v>
      </c>
      <c r="D9" s="1">
        <v>0.25</v>
      </c>
      <c r="E9" s="1" t="str">
        <f t="shared" si="1"/>
        <v>Medium Discount</v>
      </c>
      <c r="F9" s="8">
        <f t="shared" si="0"/>
        <v>724</v>
      </c>
      <c r="G9">
        <v>24</v>
      </c>
      <c r="H9" s="7">
        <v>4.5999999999999996</v>
      </c>
      <c r="I9" t="str">
        <f t="shared" si="2"/>
        <v>Excellent</v>
      </c>
    </row>
    <row r="10" spans="1:9" x14ac:dyDescent="0.3">
      <c r="A10" t="s">
        <v>37</v>
      </c>
      <c r="B10" s="4">
        <v>1940</v>
      </c>
      <c r="C10" s="4">
        <v>2650</v>
      </c>
      <c r="D10" s="1">
        <v>0.27</v>
      </c>
      <c r="E10" s="1" t="str">
        <f t="shared" si="1"/>
        <v>Medium Discount</v>
      </c>
      <c r="F10" s="8">
        <f t="shared" si="0"/>
        <v>710</v>
      </c>
      <c r="G10">
        <v>20</v>
      </c>
      <c r="H10" s="7">
        <v>4.7</v>
      </c>
      <c r="I10" t="str">
        <f t="shared" si="2"/>
        <v>Excellent</v>
      </c>
    </row>
    <row r="11" spans="1:9" x14ac:dyDescent="0.3">
      <c r="A11" t="s">
        <v>32</v>
      </c>
      <c r="B11" s="4">
        <v>1758</v>
      </c>
      <c r="C11" s="4">
        <v>2499</v>
      </c>
      <c r="D11" s="1">
        <v>0.3</v>
      </c>
      <c r="E11" s="1" t="str">
        <f t="shared" si="1"/>
        <v>Medium Discount</v>
      </c>
      <c r="F11" s="8">
        <f t="shared" si="0"/>
        <v>741</v>
      </c>
      <c r="G11">
        <v>20</v>
      </c>
      <c r="H11" s="7">
        <v>4.0999999999999996</v>
      </c>
      <c r="I11" t="str">
        <f t="shared" si="2"/>
        <v>Average</v>
      </c>
    </row>
    <row r="12" spans="1:9" x14ac:dyDescent="0.3">
      <c r="A12" t="s">
        <v>71</v>
      </c>
      <c r="B12" s="4">
        <v>382</v>
      </c>
      <c r="C12" s="4">
        <v>700</v>
      </c>
      <c r="D12" s="1">
        <v>0.45</v>
      </c>
      <c r="E12" s="1" t="str">
        <f t="shared" si="1"/>
        <v>High Discount</v>
      </c>
      <c r="F12" s="8">
        <f t="shared" si="0"/>
        <v>318</v>
      </c>
      <c r="G12">
        <v>17</v>
      </c>
      <c r="H12" s="7">
        <v>2.6</v>
      </c>
      <c r="I12" t="str">
        <f t="shared" si="2"/>
        <v>Poor</v>
      </c>
    </row>
    <row r="13" spans="1:9" x14ac:dyDescent="0.3">
      <c r="A13" t="s">
        <v>67</v>
      </c>
      <c r="B13" s="4">
        <v>1220</v>
      </c>
      <c r="C13" s="4">
        <v>1555</v>
      </c>
      <c r="D13" s="1">
        <v>0.22</v>
      </c>
      <c r="E13" s="1" t="str">
        <f t="shared" si="1"/>
        <v>Medium Discount</v>
      </c>
      <c r="F13" s="8">
        <f t="shared" si="0"/>
        <v>335</v>
      </c>
      <c r="G13">
        <v>16</v>
      </c>
      <c r="H13" s="7">
        <v>2.9</v>
      </c>
      <c r="I13" t="str">
        <f t="shared" si="2"/>
        <v>Poor</v>
      </c>
    </row>
    <row r="14" spans="1:9" x14ac:dyDescent="0.3">
      <c r="A14" t="s">
        <v>9</v>
      </c>
      <c r="B14" s="4">
        <v>2999</v>
      </c>
      <c r="C14" s="4">
        <v>3290</v>
      </c>
      <c r="D14" s="1">
        <v>0.09</v>
      </c>
      <c r="E14" s="1" t="str">
        <f t="shared" si="1"/>
        <v>Low Discount</v>
      </c>
      <c r="F14" s="8">
        <f t="shared" si="0"/>
        <v>291</v>
      </c>
      <c r="G14">
        <v>15</v>
      </c>
      <c r="H14" s="7">
        <v>4</v>
      </c>
      <c r="I14" t="str">
        <f t="shared" si="2"/>
        <v>Average</v>
      </c>
    </row>
    <row r="15" spans="1:9" x14ac:dyDescent="0.3">
      <c r="A15" t="s">
        <v>66</v>
      </c>
      <c r="B15" s="4">
        <v>325</v>
      </c>
      <c r="C15" s="4">
        <v>680</v>
      </c>
      <c r="D15" s="1">
        <v>0.52</v>
      </c>
      <c r="E15" s="1" t="str">
        <f t="shared" si="1"/>
        <v>High Discount</v>
      </c>
      <c r="F15" s="8">
        <f t="shared" si="0"/>
        <v>355</v>
      </c>
      <c r="G15">
        <v>15</v>
      </c>
      <c r="H15" s="7">
        <v>2.7</v>
      </c>
      <c r="I15" t="str">
        <f t="shared" si="2"/>
        <v>Poor</v>
      </c>
    </row>
    <row r="16" spans="1:9" x14ac:dyDescent="0.3">
      <c r="A16" t="s">
        <v>27</v>
      </c>
      <c r="B16" s="4">
        <v>1650</v>
      </c>
      <c r="C16" s="4">
        <v>2150</v>
      </c>
      <c r="D16" s="1">
        <v>0.23</v>
      </c>
      <c r="E16" s="1" t="str">
        <f t="shared" si="1"/>
        <v>Medium Discount</v>
      </c>
      <c r="F16" s="8">
        <f t="shared" si="0"/>
        <v>500</v>
      </c>
      <c r="G16">
        <v>14</v>
      </c>
      <c r="H16" s="7">
        <v>4.4000000000000004</v>
      </c>
      <c r="I16" t="str">
        <f t="shared" si="2"/>
        <v>Average</v>
      </c>
    </row>
    <row r="17" spans="1:9" x14ac:dyDescent="0.3">
      <c r="A17" t="s">
        <v>5</v>
      </c>
      <c r="B17" s="4">
        <v>527</v>
      </c>
      <c r="C17" s="4">
        <v>999</v>
      </c>
      <c r="D17" s="1">
        <v>0.47</v>
      </c>
      <c r="E17" s="1" t="str">
        <f t="shared" si="1"/>
        <v>High Discount</v>
      </c>
      <c r="F17" s="8">
        <f t="shared" si="0"/>
        <v>472</v>
      </c>
      <c r="G17">
        <v>14</v>
      </c>
      <c r="H17" s="7">
        <v>4.0999999999999996</v>
      </c>
      <c r="I17" t="str">
        <f t="shared" si="2"/>
        <v>Average</v>
      </c>
    </row>
    <row r="18" spans="1:9" x14ac:dyDescent="0.3">
      <c r="A18" t="s">
        <v>31</v>
      </c>
      <c r="B18" s="4">
        <v>1350</v>
      </c>
      <c r="C18" s="4">
        <v>1990</v>
      </c>
      <c r="D18" s="1">
        <v>0.32</v>
      </c>
      <c r="E18" s="1" t="str">
        <f t="shared" si="1"/>
        <v>Medium Discount</v>
      </c>
      <c r="F18" s="8">
        <f t="shared" si="0"/>
        <v>640</v>
      </c>
      <c r="G18">
        <v>13</v>
      </c>
      <c r="H18" s="7">
        <v>3.8</v>
      </c>
      <c r="I18" t="str">
        <f t="shared" si="2"/>
        <v>Average</v>
      </c>
    </row>
    <row r="19" spans="1:9" x14ac:dyDescent="0.3">
      <c r="A19" t="s">
        <v>24</v>
      </c>
      <c r="B19" s="4">
        <v>38</v>
      </c>
      <c r="C19" s="4">
        <v>80</v>
      </c>
      <c r="D19" s="1">
        <v>0.53</v>
      </c>
      <c r="E19" s="1" t="str">
        <f t="shared" si="1"/>
        <v>High Discount</v>
      </c>
      <c r="F19" s="8">
        <f t="shared" si="0"/>
        <v>42</v>
      </c>
      <c r="G19">
        <v>13</v>
      </c>
      <c r="H19" s="7">
        <v>3.3</v>
      </c>
      <c r="I19" t="str">
        <f t="shared" si="2"/>
        <v>Average</v>
      </c>
    </row>
    <row r="20" spans="1:9" x14ac:dyDescent="0.3">
      <c r="A20" t="s">
        <v>64</v>
      </c>
      <c r="B20" s="4">
        <v>2115</v>
      </c>
      <c r="C20" s="4">
        <v>4700</v>
      </c>
      <c r="D20" s="1">
        <v>0.55000000000000004</v>
      </c>
      <c r="E20" s="1" t="str">
        <f t="shared" si="1"/>
        <v>High Discount</v>
      </c>
      <c r="F20" s="8">
        <f t="shared" si="0"/>
        <v>2585</v>
      </c>
      <c r="G20">
        <v>13</v>
      </c>
      <c r="H20" s="7">
        <v>2.1</v>
      </c>
      <c r="I20" t="str">
        <f t="shared" si="2"/>
        <v>Poor</v>
      </c>
    </row>
    <row r="21" spans="1:9" x14ac:dyDescent="0.3">
      <c r="A21" t="s">
        <v>30</v>
      </c>
      <c r="B21" s="4">
        <v>2880</v>
      </c>
      <c r="C21" s="4">
        <v>3520</v>
      </c>
      <c r="D21" s="1">
        <v>0.18</v>
      </c>
      <c r="E21" s="1" t="str">
        <f t="shared" si="1"/>
        <v>Low Discount</v>
      </c>
      <c r="F21" s="8">
        <f t="shared" si="0"/>
        <v>640</v>
      </c>
      <c r="G21">
        <v>12</v>
      </c>
      <c r="H21" s="7">
        <v>3.8</v>
      </c>
      <c r="I21" t="str">
        <f t="shared" si="2"/>
        <v>Average</v>
      </c>
    </row>
    <row r="22" spans="1:9" x14ac:dyDescent="0.3">
      <c r="A22" t="s">
        <v>14</v>
      </c>
      <c r="B22" s="4">
        <v>799</v>
      </c>
      <c r="C22" s="4">
        <v>999</v>
      </c>
      <c r="D22" s="1">
        <v>0.2</v>
      </c>
      <c r="E22" s="1" t="str">
        <f t="shared" si="1"/>
        <v>Medium Discount</v>
      </c>
      <c r="F22" s="8">
        <f t="shared" si="0"/>
        <v>200</v>
      </c>
      <c r="G22">
        <v>12</v>
      </c>
      <c r="H22" s="7">
        <v>4.0999999999999996</v>
      </c>
      <c r="I22" t="str">
        <f t="shared" si="2"/>
        <v>Average</v>
      </c>
    </row>
    <row r="23" spans="1:9" x14ac:dyDescent="0.3">
      <c r="A23" t="s">
        <v>35</v>
      </c>
      <c r="B23" s="4">
        <v>980</v>
      </c>
      <c r="C23" s="4">
        <v>1490</v>
      </c>
      <c r="D23" s="1">
        <v>0.34</v>
      </c>
      <c r="E23" s="1" t="str">
        <f t="shared" si="1"/>
        <v>Medium Discount</v>
      </c>
      <c r="F23" s="8">
        <f t="shared" si="0"/>
        <v>510</v>
      </c>
      <c r="G23">
        <v>12</v>
      </c>
      <c r="H23" s="7">
        <v>4.7</v>
      </c>
      <c r="I23" t="str">
        <f t="shared" si="2"/>
        <v>Excellent</v>
      </c>
    </row>
    <row r="24" spans="1:9" x14ac:dyDescent="0.3">
      <c r="A24" t="s">
        <v>16</v>
      </c>
      <c r="B24" s="4">
        <v>552</v>
      </c>
      <c r="C24" s="4">
        <v>1035</v>
      </c>
      <c r="D24" s="1">
        <v>0.47</v>
      </c>
      <c r="E24" s="1" t="str">
        <f t="shared" si="1"/>
        <v>High Discount</v>
      </c>
      <c r="F24" s="8">
        <f t="shared" si="0"/>
        <v>483</v>
      </c>
      <c r="G24">
        <v>12</v>
      </c>
      <c r="H24" s="7">
        <v>4.8</v>
      </c>
      <c r="I24" t="str">
        <f t="shared" si="2"/>
        <v>Excellent</v>
      </c>
    </row>
    <row r="25" spans="1:9" x14ac:dyDescent="0.3">
      <c r="A25" t="s">
        <v>63</v>
      </c>
      <c r="B25" s="4">
        <v>458</v>
      </c>
      <c r="C25" s="4">
        <v>986</v>
      </c>
      <c r="D25" s="1">
        <v>0.54</v>
      </c>
      <c r="E25" s="1" t="str">
        <f t="shared" si="1"/>
        <v>High Discount</v>
      </c>
      <c r="F25" s="8">
        <f t="shared" si="0"/>
        <v>528</v>
      </c>
      <c r="G25">
        <v>10</v>
      </c>
      <c r="H25" s="7">
        <v>3</v>
      </c>
      <c r="I25" t="str">
        <f t="shared" si="2"/>
        <v>Poor</v>
      </c>
    </row>
    <row r="26" spans="1:9" x14ac:dyDescent="0.3">
      <c r="A26" t="s">
        <v>18</v>
      </c>
      <c r="B26" s="4">
        <v>1680</v>
      </c>
      <c r="C26" s="4">
        <v>2499</v>
      </c>
      <c r="D26" s="1">
        <v>0.33</v>
      </c>
      <c r="E26" s="1" t="str">
        <f t="shared" si="1"/>
        <v>Medium Discount</v>
      </c>
      <c r="F26" s="8">
        <f t="shared" si="0"/>
        <v>819</v>
      </c>
      <c r="G26">
        <v>9</v>
      </c>
      <c r="H26" s="7">
        <v>4.2</v>
      </c>
      <c r="I26" t="str">
        <f t="shared" si="2"/>
        <v>Average</v>
      </c>
    </row>
    <row r="27" spans="1:9" x14ac:dyDescent="0.3">
      <c r="A27" t="s">
        <v>36</v>
      </c>
      <c r="B27" s="4">
        <v>1820</v>
      </c>
      <c r="C27" s="4">
        <v>3490</v>
      </c>
      <c r="D27" s="1">
        <v>0.48</v>
      </c>
      <c r="E27" s="1" t="str">
        <f t="shared" si="1"/>
        <v>High Discount</v>
      </c>
      <c r="F27" s="8">
        <f t="shared" si="0"/>
        <v>1670</v>
      </c>
      <c r="G27">
        <v>9</v>
      </c>
      <c r="H27" s="7">
        <v>4.3</v>
      </c>
      <c r="I27" t="str">
        <f t="shared" si="2"/>
        <v>Average</v>
      </c>
    </row>
    <row r="28" spans="1:9" x14ac:dyDescent="0.3">
      <c r="A28" t="s">
        <v>34</v>
      </c>
      <c r="B28" s="4">
        <v>185</v>
      </c>
      <c r="C28" s="4">
        <v>382</v>
      </c>
      <c r="D28" s="1">
        <v>0.52</v>
      </c>
      <c r="E28" s="1" t="str">
        <f t="shared" si="1"/>
        <v>High Discount</v>
      </c>
      <c r="F28" s="8">
        <f t="shared" si="0"/>
        <v>197</v>
      </c>
      <c r="G28">
        <v>9</v>
      </c>
      <c r="H28" s="7">
        <v>4.3</v>
      </c>
      <c r="I28" t="str">
        <f t="shared" si="2"/>
        <v>Average</v>
      </c>
    </row>
    <row r="29" spans="1:9" x14ac:dyDescent="0.3">
      <c r="A29" t="s">
        <v>7</v>
      </c>
      <c r="B29" s="4">
        <v>1580</v>
      </c>
      <c r="C29" s="4">
        <v>2499</v>
      </c>
      <c r="D29" s="1">
        <v>0.37</v>
      </c>
      <c r="E29" s="1" t="str">
        <f t="shared" si="1"/>
        <v>Medium Discount</v>
      </c>
      <c r="F29" s="8">
        <f t="shared" si="0"/>
        <v>919</v>
      </c>
      <c r="G29">
        <v>7</v>
      </c>
      <c r="H29" s="7">
        <v>4.7</v>
      </c>
      <c r="I29" t="str">
        <f t="shared" si="2"/>
        <v>Excellent</v>
      </c>
    </row>
    <row r="30" spans="1:9" x14ac:dyDescent="0.3">
      <c r="A30" t="s">
        <v>76</v>
      </c>
      <c r="B30" s="4">
        <v>1570</v>
      </c>
      <c r="C30" s="4">
        <v>2988</v>
      </c>
      <c r="D30" s="1">
        <v>0.47</v>
      </c>
      <c r="E30" s="1" t="str">
        <f t="shared" si="1"/>
        <v>High Discount</v>
      </c>
      <c r="F30" s="8">
        <f t="shared" si="0"/>
        <v>1418</v>
      </c>
      <c r="G30">
        <v>7</v>
      </c>
      <c r="H30" s="7">
        <v>2.1</v>
      </c>
      <c r="I30" t="str">
        <f t="shared" si="2"/>
        <v>Poor</v>
      </c>
    </row>
    <row r="31" spans="1:9" x14ac:dyDescent="0.3">
      <c r="A31" t="s">
        <v>69</v>
      </c>
      <c r="B31" s="4">
        <v>1000</v>
      </c>
      <c r="C31" s="4">
        <v>2000</v>
      </c>
      <c r="D31" s="1">
        <v>0.5</v>
      </c>
      <c r="E31" s="1" t="str">
        <f t="shared" si="1"/>
        <v>High Discount</v>
      </c>
      <c r="F31" s="8">
        <f t="shared" si="0"/>
        <v>1000</v>
      </c>
      <c r="G31">
        <v>7</v>
      </c>
      <c r="H31" s="7">
        <v>2.2999999999999998</v>
      </c>
      <c r="I31" t="str">
        <f t="shared" si="2"/>
        <v>Poor</v>
      </c>
    </row>
    <row r="32" spans="1:9" x14ac:dyDescent="0.3">
      <c r="A32" t="s">
        <v>28</v>
      </c>
      <c r="B32" s="4">
        <v>2048</v>
      </c>
      <c r="C32" s="4">
        <v>4500</v>
      </c>
      <c r="D32" s="1">
        <v>0.54</v>
      </c>
      <c r="E32" s="1" t="str">
        <f t="shared" si="1"/>
        <v>High Discount</v>
      </c>
      <c r="F32" s="8">
        <f t="shared" si="0"/>
        <v>2452</v>
      </c>
      <c r="G32">
        <v>7</v>
      </c>
      <c r="H32" s="7">
        <v>4.3</v>
      </c>
      <c r="I32" t="str">
        <f t="shared" si="2"/>
        <v>Average</v>
      </c>
    </row>
    <row r="33" spans="1:9" x14ac:dyDescent="0.3">
      <c r="A33" t="s">
        <v>62</v>
      </c>
      <c r="B33" s="4">
        <v>2170</v>
      </c>
      <c r="C33" s="4">
        <v>2500</v>
      </c>
      <c r="D33" s="1">
        <v>0.13</v>
      </c>
      <c r="E33" s="1" t="str">
        <f t="shared" si="1"/>
        <v>Low Discount</v>
      </c>
      <c r="F33" s="8">
        <f t="shared" si="0"/>
        <v>330</v>
      </c>
      <c r="G33">
        <v>6</v>
      </c>
      <c r="H33" s="7">
        <v>2.5</v>
      </c>
      <c r="I33" t="str">
        <f t="shared" si="2"/>
        <v>Poor</v>
      </c>
    </row>
    <row r="34" spans="1:9" x14ac:dyDescent="0.3">
      <c r="A34" t="s">
        <v>26</v>
      </c>
      <c r="B34" s="4">
        <v>880</v>
      </c>
      <c r="C34" s="4">
        <v>1350</v>
      </c>
      <c r="D34" s="1">
        <v>0.35</v>
      </c>
      <c r="E34" s="1" t="str">
        <f t="shared" si="1"/>
        <v>Medium Discount</v>
      </c>
      <c r="F34" s="8">
        <f t="shared" si="0"/>
        <v>470</v>
      </c>
      <c r="G34">
        <v>6</v>
      </c>
      <c r="H34" s="7">
        <v>4</v>
      </c>
      <c r="I34" t="str">
        <f t="shared" si="2"/>
        <v>Average</v>
      </c>
    </row>
    <row r="35" spans="1:9" x14ac:dyDescent="0.3">
      <c r="A35" t="s">
        <v>17</v>
      </c>
      <c r="B35" s="4">
        <v>501</v>
      </c>
      <c r="C35" s="4">
        <v>860</v>
      </c>
      <c r="D35" s="1">
        <v>0.42</v>
      </c>
      <c r="E35" s="1" t="str">
        <f t="shared" si="1"/>
        <v>High Discount</v>
      </c>
      <c r="F35" s="8">
        <f t="shared" si="0"/>
        <v>359</v>
      </c>
      <c r="G35">
        <v>6</v>
      </c>
      <c r="H35" s="7">
        <v>4.5</v>
      </c>
      <c r="I35" t="str">
        <f t="shared" si="2"/>
        <v>Excellent</v>
      </c>
    </row>
    <row r="36" spans="1:9" x14ac:dyDescent="0.3">
      <c r="A36" t="s">
        <v>73</v>
      </c>
      <c r="B36" s="4">
        <v>345</v>
      </c>
      <c r="C36" s="4">
        <v>602</v>
      </c>
      <c r="D36" s="1">
        <v>0.43</v>
      </c>
      <c r="E36" s="1" t="str">
        <f t="shared" si="1"/>
        <v>High Discount</v>
      </c>
      <c r="F36" s="8">
        <f t="shared" si="0"/>
        <v>257</v>
      </c>
      <c r="G36">
        <v>6</v>
      </c>
      <c r="H36" s="7">
        <v>2.2999999999999998</v>
      </c>
      <c r="I36" t="str">
        <f t="shared" si="2"/>
        <v>Poor</v>
      </c>
    </row>
    <row r="37" spans="1:9" x14ac:dyDescent="0.3">
      <c r="A37" t="s">
        <v>68</v>
      </c>
      <c r="B37" s="4">
        <v>990</v>
      </c>
      <c r="C37" s="4">
        <v>1814</v>
      </c>
      <c r="D37" s="1">
        <v>0.45</v>
      </c>
      <c r="E37" s="1" t="str">
        <f t="shared" si="1"/>
        <v>High Discount</v>
      </c>
      <c r="F37" s="8">
        <f t="shared" si="0"/>
        <v>824</v>
      </c>
      <c r="G37">
        <v>6</v>
      </c>
      <c r="H37" s="7">
        <v>2.2000000000000002</v>
      </c>
      <c r="I37" t="str">
        <f t="shared" si="2"/>
        <v>Poor</v>
      </c>
    </row>
    <row r="38" spans="1:9" x14ac:dyDescent="0.3">
      <c r="A38" t="s">
        <v>75</v>
      </c>
      <c r="B38" s="4">
        <v>968</v>
      </c>
      <c r="C38" s="4">
        <v>1814</v>
      </c>
      <c r="D38" s="1">
        <v>0.47</v>
      </c>
      <c r="E38" s="1" t="str">
        <f t="shared" si="1"/>
        <v>High Discount</v>
      </c>
      <c r="F38" s="8">
        <f t="shared" si="0"/>
        <v>846</v>
      </c>
      <c r="G38">
        <v>6</v>
      </c>
      <c r="H38" s="7">
        <v>2.2000000000000002</v>
      </c>
      <c r="I38" t="str">
        <f t="shared" si="2"/>
        <v>Poor</v>
      </c>
    </row>
    <row r="39" spans="1:9" x14ac:dyDescent="0.3">
      <c r="A39" t="s">
        <v>22</v>
      </c>
      <c r="B39" s="4">
        <v>2999</v>
      </c>
      <c r="C39" s="4">
        <v>3699</v>
      </c>
      <c r="D39" s="1">
        <v>0.19</v>
      </c>
      <c r="E39" s="1" t="str">
        <f t="shared" si="1"/>
        <v>Low Discount</v>
      </c>
      <c r="F39" s="8">
        <f t="shared" si="0"/>
        <v>700</v>
      </c>
      <c r="G39">
        <v>5</v>
      </c>
      <c r="H39" s="7">
        <v>4.5999999999999996</v>
      </c>
      <c r="I39" t="str">
        <f t="shared" si="2"/>
        <v>Excellent</v>
      </c>
    </row>
    <row r="40" spans="1:9" x14ac:dyDescent="0.3">
      <c r="A40" t="s">
        <v>8</v>
      </c>
      <c r="B40" s="4">
        <v>1740</v>
      </c>
      <c r="C40" s="4">
        <v>2356</v>
      </c>
      <c r="D40" s="1">
        <v>0.26</v>
      </c>
      <c r="E40" s="1" t="str">
        <f t="shared" si="1"/>
        <v>Medium Discount</v>
      </c>
      <c r="F40" s="8">
        <f t="shared" si="0"/>
        <v>616</v>
      </c>
      <c r="G40">
        <v>5</v>
      </c>
      <c r="H40" s="7">
        <v>4.8</v>
      </c>
      <c r="I40" t="str">
        <f t="shared" si="2"/>
        <v>Excellent</v>
      </c>
    </row>
    <row r="41" spans="1:9" x14ac:dyDescent="0.3">
      <c r="A41" t="s">
        <v>72</v>
      </c>
      <c r="B41" s="4">
        <v>2300</v>
      </c>
      <c r="C41" s="4">
        <v>3240</v>
      </c>
      <c r="D41" s="1">
        <v>0.28999999999999998</v>
      </c>
      <c r="E41" s="1" t="str">
        <f t="shared" si="1"/>
        <v>Medium Discount</v>
      </c>
      <c r="F41" s="8">
        <f t="shared" si="0"/>
        <v>940</v>
      </c>
      <c r="G41">
        <v>5</v>
      </c>
      <c r="H41" s="7">
        <v>3</v>
      </c>
      <c r="I41" t="str">
        <f t="shared" si="2"/>
        <v>Poor</v>
      </c>
    </row>
    <row r="42" spans="1:9" x14ac:dyDescent="0.3">
      <c r="A42" t="s">
        <v>70</v>
      </c>
      <c r="B42" s="4">
        <v>3750</v>
      </c>
      <c r="C42" s="4">
        <v>6143</v>
      </c>
      <c r="D42" s="1">
        <v>0.39</v>
      </c>
      <c r="E42" s="1" t="str">
        <f t="shared" si="1"/>
        <v>Medium Discount</v>
      </c>
      <c r="F42" s="8">
        <f t="shared" si="0"/>
        <v>2393</v>
      </c>
      <c r="G42">
        <v>5</v>
      </c>
      <c r="H42" s="7">
        <v>3</v>
      </c>
      <c r="I42" t="str">
        <f t="shared" si="2"/>
        <v>Poor</v>
      </c>
    </row>
    <row r="43" spans="1:9" x14ac:dyDescent="0.3">
      <c r="A43" t="s">
        <v>74</v>
      </c>
      <c r="B43" s="4">
        <v>509</v>
      </c>
      <c r="C43" s="4">
        <v>899</v>
      </c>
      <c r="D43" s="1">
        <v>0.43</v>
      </c>
      <c r="E43" s="1" t="str">
        <f t="shared" si="1"/>
        <v>High Discount</v>
      </c>
      <c r="F43" s="8">
        <f t="shared" si="0"/>
        <v>390</v>
      </c>
      <c r="G43">
        <v>5</v>
      </c>
      <c r="H43" s="7">
        <v>3</v>
      </c>
      <c r="I43" t="str">
        <f t="shared" si="2"/>
        <v>Poor</v>
      </c>
    </row>
    <row r="44" spans="1:9" x14ac:dyDescent="0.3">
      <c r="A44" t="s">
        <v>13</v>
      </c>
      <c r="B44" s="4">
        <v>1600</v>
      </c>
      <c r="C44" s="4">
        <v>2929</v>
      </c>
      <c r="D44" s="1">
        <v>0.45</v>
      </c>
      <c r="E44" s="1" t="str">
        <f t="shared" si="1"/>
        <v>High Discount</v>
      </c>
      <c r="F44" s="8">
        <f t="shared" si="0"/>
        <v>1329</v>
      </c>
      <c r="G44">
        <v>5</v>
      </c>
      <c r="H44" s="7">
        <v>3.8</v>
      </c>
      <c r="I44" t="str">
        <f t="shared" si="2"/>
        <v>Average</v>
      </c>
    </row>
    <row r="45" spans="1:9" x14ac:dyDescent="0.3">
      <c r="A45" t="s">
        <v>12</v>
      </c>
      <c r="B45" s="4">
        <v>1274</v>
      </c>
      <c r="C45" s="4">
        <v>2800</v>
      </c>
      <c r="D45" s="1">
        <v>0.55000000000000004</v>
      </c>
      <c r="E45" s="1" t="str">
        <f t="shared" si="1"/>
        <v>High Discount</v>
      </c>
      <c r="F45" s="8">
        <f t="shared" si="0"/>
        <v>1526</v>
      </c>
      <c r="G45">
        <v>5</v>
      </c>
      <c r="H45" s="7">
        <v>4.8</v>
      </c>
      <c r="I45" t="str">
        <f t="shared" si="2"/>
        <v>Excellent</v>
      </c>
    </row>
    <row r="46" spans="1:9" x14ac:dyDescent="0.3">
      <c r="A46" t="s">
        <v>21</v>
      </c>
      <c r="B46" s="4">
        <v>2025</v>
      </c>
      <c r="C46" s="4">
        <v>3971</v>
      </c>
      <c r="D46" s="1">
        <v>0.49</v>
      </c>
      <c r="E46" s="1" t="str">
        <f t="shared" si="1"/>
        <v>High Discount</v>
      </c>
      <c r="F46" s="8">
        <f t="shared" si="0"/>
        <v>1946</v>
      </c>
      <c r="G46">
        <v>3</v>
      </c>
      <c r="H46" s="7">
        <v>5</v>
      </c>
      <c r="I46" t="str">
        <f t="shared" si="2"/>
        <v>Excellent</v>
      </c>
    </row>
    <row r="47" spans="1:9" x14ac:dyDescent="0.3">
      <c r="A47" t="s">
        <v>11</v>
      </c>
      <c r="B47" s="4">
        <v>988</v>
      </c>
      <c r="C47" s="4">
        <v>1580</v>
      </c>
      <c r="D47" s="1">
        <v>0.37</v>
      </c>
      <c r="E47" s="1" t="str">
        <f t="shared" si="1"/>
        <v>Medium Discount</v>
      </c>
      <c r="F47" s="8">
        <f t="shared" si="0"/>
        <v>592</v>
      </c>
      <c r="G47">
        <v>2</v>
      </c>
      <c r="H47" s="7">
        <v>4</v>
      </c>
      <c r="I47" t="str">
        <f t="shared" si="2"/>
        <v>Average</v>
      </c>
    </row>
    <row r="48" spans="1:9" x14ac:dyDescent="0.3">
      <c r="A48" t="s">
        <v>4</v>
      </c>
      <c r="B48" s="4">
        <v>950</v>
      </c>
      <c r="C48" s="4">
        <v>1525</v>
      </c>
      <c r="D48" s="1">
        <v>0.38</v>
      </c>
      <c r="E48" s="1" t="str">
        <f t="shared" si="1"/>
        <v>Medium Discount</v>
      </c>
      <c r="F48" s="8">
        <f t="shared" si="0"/>
        <v>575</v>
      </c>
      <c r="G48">
        <v>2</v>
      </c>
      <c r="H48" s="7">
        <v>4.5</v>
      </c>
      <c r="I48" t="str">
        <f t="shared" si="2"/>
        <v>Excellent</v>
      </c>
    </row>
    <row r="49" spans="1:9" x14ac:dyDescent="0.3">
      <c r="A49" t="s">
        <v>42</v>
      </c>
      <c r="B49" s="4" t="s">
        <v>115</v>
      </c>
      <c r="C49" s="4" t="s">
        <v>116</v>
      </c>
      <c r="D49" s="1">
        <v>0.38</v>
      </c>
      <c r="E49" s="1" t="str">
        <f t="shared" si="1"/>
        <v>Medium Discount</v>
      </c>
      <c r="F49" s="8"/>
      <c r="G49">
        <v>2</v>
      </c>
      <c r="H49" s="7">
        <v>4.5</v>
      </c>
      <c r="I49" t="str">
        <f t="shared" si="2"/>
        <v>Excellent</v>
      </c>
    </row>
    <row r="50" spans="1:9" x14ac:dyDescent="0.3">
      <c r="A50" t="s">
        <v>20</v>
      </c>
      <c r="B50" s="4">
        <v>195</v>
      </c>
      <c r="C50" s="4">
        <v>360</v>
      </c>
      <c r="D50" s="1">
        <v>0.46</v>
      </c>
      <c r="E50" s="1" t="str">
        <f t="shared" si="1"/>
        <v>High Discount</v>
      </c>
      <c r="F50" s="8">
        <f t="shared" ref="F50:F81" si="3">C50-B50</f>
        <v>165</v>
      </c>
      <c r="G50">
        <v>2</v>
      </c>
      <c r="H50" s="7">
        <v>5</v>
      </c>
      <c r="I50" t="str">
        <f t="shared" si="2"/>
        <v>Excellent</v>
      </c>
    </row>
    <row r="51" spans="1:9" x14ac:dyDescent="0.3">
      <c r="A51" t="s">
        <v>19</v>
      </c>
      <c r="B51" s="4">
        <v>332</v>
      </c>
      <c r="C51" s="4">
        <v>684</v>
      </c>
      <c r="D51" s="1">
        <v>0.51</v>
      </c>
      <c r="E51" s="1" t="str">
        <f t="shared" si="1"/>
        <v>High Discount</v>
      </c>
      <c r="F51" s="8">
        <f t="shared" si="3"/>
        <v>352</v>
      </c>
      <c r="G51">
        <v>2</v>
      </c>
      <c r="H51" s="7">
        <v>5</v>
      </c>
      <c r="I51" t="str">
        <f t="shared" si="2"/>
        <v>Excellent</v>
      </c>
    </row>
    <row r="52" spans="1:9" x14ac:dyDescent="0.3">
      <c r="A52" t="s">
        <v>40</v>
      </c>
      <c r="B52" s="4">
        <v>171</v>
      </c>
      <c r="C52" s="4">
        <v>360</v>
      </c>
      <c r="D52" s="1">
        <v>0.53</v>
      </c>
      <c r="E52" s="1" t="str">
        <f t="shared" si="1"/>
        <v>High Discount</v>
      </c>
      <c r="F52" s="8">
        <f t="shared" si="3"/>
        <v>189</v>
      </c>
      <c r="G52">
        <v>2</v>
      </c>
      <c r="H52" s="7">
        <v>5</v>
      </c>
      <c r="I52" t="str">
        <f t="shared" si="2"/>
        <v>Excellent</v>
      </c>
    </row>
    <row r="53" spans="1:9" x14ac:dyDescent="0.3">
      <c r="A53" t="s">
        <v>102</v>
      </c>
      <c r="B53" s="4">
        <v>3640</v>
      </c>
      <c r="C53" s="4">
        <v>4588</v>
      </c>
      <c r="D53" s="1">
        <v>0.21</v>
      </c>
      <c r="E53" s="1" t="str">
        <f t="shared" si="1"/>
        <v>Medium Discount</v>
      </c>
      <c r="F53" s="8">
        <f t="shared" si="3"/>
        <v>948</v>
      </c>
      <c r="G53">
        <v>1</v>
      </c>
      <c r="H53" s="7">
        <v>5</v>
      </c>
      <c r="I53" t="str">
        <f t="shared" si="2"/>
        <v>Excellent</v>
      </c>
    </row>
    <row r="54" spans="1:9" x14ac:dyDescent="0.3">
      <c r="A54" t="s">
        <v>39</v>
      </c>
      <c r="B54" s="4">
        <v>1620</v>
      </c>
      <c r="C54" s="4">
        <v>2690</v>
      </c>
      <c r="D54" s="1">
        <v>0.4</v>
      </c>
      <c r="E54" s="1" t="str">
        <f t="shared" si="1"/>
        <v>Medium Discount</v>
      </c>
      <c r="F54" s="8">
        <f t="shared" si="3"/>
        <v>1070</v>
      </c>
      <c r="G54">
        <v>1</v>
      </c>
      <c r="H54" s="7">
        <v>5</v>
      </c>
      <c r="I54" t="str">
        <f t="shared" si="2"/>
        <v>Excellent</v>
      </c>
    </row>
    <row r="55" spans="1:9" x14ac:dyDescent="0.3">
      <c r="A55" t="s">
        <v>81</v>
      </c>
      <c r="B55" s="4">
        <v>1189</v>
      </c>
      <c r="C55" s="4">
        <v>2199</v>
      </c>
      <c r="D55" s="1">
        <v>0.46</v>
      </c>
      <c r="E55" s="1" t="str">
        <f t="shared" si="1"/>
        <v>High Discount</v>
      </c>
      <c r="F55" s="8">
        <f t="shared" si="3"/>
        <v>1010</v>
      </c>
      <c r="G55">
        <v>1</v>
      </c>
      <c r="H55" s="7">
        <v>3</v>
      </c>
      <c r="I55" t="str">
        <f t="shared" si="2"/>
        <v>Poor</v>
      </c>
    </row>
    <row r="56" spans="1:9" x14ac:dyDescent="0.3">
      <c r="A56" t="s">
        <v>82</v>
      </c>
      <c r="B56" s="4">
        <v>979</v>
      </c>
      <c r="C56" s="4">
        <v>1920</v>
      </c>
      <c r="D56" s="1">
        <v>0.49</v>
      </c>
      <c r="E56" s="1" t="str">
        <f t="shared" si="1"/>
        <v>High Discount</v>
      </c>
      <c r="F56" s="8">
        <f t="shared" si="3"/>
        <v>941</v>
      </c>
      <c r="G56">
        <v>1</v>
      </c>
      <c r="H56" s="7">
        <v>5</v>
      </c>
      <c r="I56" t="str">
        <f t="shared" si="2"/>
        <v>Excellent</v>
      </c>
    </row>
    <row r="57" spans="1:9" x14ac:dyDescent="0.3">
      <c r="A57" t="s">
        <v>85</v>
      </c>
      <c r="B57" s="4">
        <v>330</v>
      </c>
      <c r="C57" s="4">
        <v>647</v>
      </c>
      <c r="D57" s="1">
        <v>0.49</v>
      </c>
      <c r="E57" s="1" t="str">
        <f t="shared" si="1"/>
        <v>High Discount</v>
      </c>
      <c r="F57" s="8">
        <f t="shared" si="3"/>
        <v>317</v>
      </c>
      <c r="G57">
        <v>1</v>
      </c>
      <c r="H57" s="7">
        <v>4</v>
      </c>
      <c r="I57" t="str">
        <f t="shared" si="2"/>
        <v>Average</v>
      </c>
    </row>
    <row r="58" spans="1:9" x14ac:dyDescent="0.3">
      <c r="A58" t="s">
        <v>111</v>
      </c>
      <c r="B58" s="4">
        <v>450</v>
      </c>
      <c r="C58" s="4">
        <v>900</v>
      </c>
      <c r="D58" s="1">
        <v>0.5</v>
      </c>
      <c r="E58" s="1" t="str">
        <f t="shared" si="1"/>
        <v>High Discount</v>
      </c>
      <c r="F58" s="8">
        <f t="shared" si="3"/>
        <v>450</v>
      </c>
      <c r="G58">
        <v>1</v>
      </c>
      <c r="H58" s="7">
        <v>2</v>
      </c>
      <c r="I58" t="str">
        <f t="shared" si="2"/>
        <v>Poor</v>
      </c>
    </row>
    <row r="59" spans="1:9" x14ac:dyDescent="0.3">
      <c r="A59" t="s">
        <v>104</v>
      </c>
      <c r="B59" s="4">
        <v>1875</v>
      </c>
      <c r="C59" s="4">
        <v>1899</v>
      </c>
      <c r="D59" s="1">
        <v>0.01</v>
      </c>
      <c r="E59" s="1" t="str">
        <f t="shared" si="1"/>
        <v>Low Discount</v>
      </c>
      <c r="F59" s="8">
        <f t="shared" si="3"/>
        <v>24</v>
      </c>
    </row>
    <row r="60" spans="1:9" x14ac:dyDescent="0.3">
      <c r="A60" t="s">
        <v>47</v>
      </c>
      <c r="B60" s="4">
        <v>2132</v>
      </c>
      <c r="C60" s="4">
        <v>2169</v>
      </c>
      <c r="D60" s="1">
        <v>0.02</v>
      </c>
      <c r="E60" s="1" t="str">
        <f t="shared" si="1"/>
        <v>Low Discount</v>
      </c>
      <c r="F60" s="8">
        <f t="shared" si="3"/>
        <v>37</v>
      </c>
    </row>
    <row r="61" spans="1:9" x14ac:dyDescent="0.3">
      <c r="A61" t="s">
        <v>54</v>
      </c>
      <c r="B61" s="4">
        <v>1660</v>
      </c>
      <c r="C61" s="4">
        <v>1699</v>
      </c>
      <c r="D61" s="1">
        <v>0.02</v>
      </c>
      <c r="E61" s="1" t="str">
        <f t="shared" si="1"/>
        <v>Low Discount</v>
      </c>
      <c r="F61" s="8">
        <f t="shared" si="3"/>
        <v>39</v>
      </c>
    </row>
    <row r="62" spans="1:9" x14ac:dyDescent="0.3">
      <c r="A62" t="s">
        <v>84</v>
      </c>
      <c r="B62" s="4">
        <v>1666</v>
      </c>
      <c r="C62" s="4">
        <v>1699</v>
      </c>
      <c r="D62" s="1">
        <v>0.02</v>
      </c>
      <c r="E62" s="1" t="str">
        <f t="shared" si="1"/>
        <v>Low Discount</v>
      </c>
      <c r="F62" s="8">
        <f t="shared" si="3"/>
        <v>33</v>
      </c>
    </row>
    <row r="63" spans="1:9" x14ac:dyDescent="0.3">
      <c r="A63" t="s">
        <v>97</v>
      </c>
      <c r="B63" s="4">
        <v>1462</v>
      </c>
      <c r="C63" s="4">
        <v>1499</v>
      </c>
      <c r="D63" s="1">
        <v>0.02</v>
      </c>
      <c r="E63" s="1" t="str">
        <f t="shared" si="1"/>
        <v>Low Discount</v>
      </c>
      <c r="F63" s="8">
        <f t="shared" si="3"/>
        <v>37</v>
      </c>
    </row>
    <row r="64" spans="1:9" x14ac:dyDescent="0.3">
      <c r="A64" t="s">
        <v>108</v>
      </c>
      <c r="B64" s="4">
        <v>1658</v>
      </c>
      <c r="C64" s="4">
        <v>1699</v>
      </c>
      <c r="D64" s="1">
        <v>0.02</v>
      </c>
      <c r="E64" s="1" t="str">
        <f t="shared" si="1"/>
        <v>Low Discount</v>
      </c>
      <c r="F64" s="8">
        <f t="shared" si="3"/>
        <v>41</v>
      </c>
    </row>
    <row r="65" spans="1:6" x14ac:dyDescent="0.3">
      <c r="A65" t="s">
        <v>109</v>
      </c>
      <c r="B65" s="4">
        <v>1768</v>
      </c>
      <c r="C65" s="4">
        <v>1799</v>
      </c>
      <c r="D65" s="1">
        <v>0.02</v>
      </c>
      <c r="E65" s="1" t="str">
        <f t="shared" si="1"/>
        <v>Low Discount</v>
      </c>
      <c r="F65" s="8">
        <f t="shared" si="3"/>
        <v>31</v>
      </c>
    </row>
    <row r="66" spans="1:6" x14ac:dyDescent="0.3">
      <c r="A66" t="s">
        <v>56</v>
      </c>
      <c r="B66" s="4">
        <v>1459</v>
      </c>
      <c r="C66" s="4">
        <v>1499</v>
      </c>
      <c r="D66" s="1">
        <v>0.03</v>
      </c>
      <c r="E66" s="1" t="str">
        <f t="shared" si="1"/>
        <v>Low Discount</v>
      </c>
      <c r="F66" s="8">
        <f t="shared" si="3"/>
        <v>40</v>
      </c>
    </row>
    <row r="67" spans="1:6" x14ac:dyDescent="0.3">
      <c r="A67" t="s">
        <v>79</v>
      </c>
      <c r="B67" s="4">
        <v>1732</v>
      </c>
      <c r="C67" s="4">
        <v>1799</v>
      </c>
      <c r="D67" s="1">
        <v>0.04</v>
      </c>
      <c r="E67" s="1" t="str">
        <f t="shared" ref="E67:E113" si="4">IF(D67&lt;20%, "Low Discount", IF(D67&lt;=40%, "Medium Discount", "High Discount"))</f>
        <v>Low Discount</v>
      </c>
      <c r="F67" s="8">
        <f t="shared" si="3"/>
        <v>67</v>
      </c>
    </row>
    <row r="68" spans="1:6" x14ac:dyDescent="0.3">
      <c r="A68" t="s">
        <v>99</v>
      </c>
      <c r="B68" s="4">
        <v>3546</v>
      </c>
      <c r="C68" s="4">
        <v>3699</v>
      </c>
      <c r="D68" s="1">
        <v>0.04</v>
      </c>
      <c r="E68" s="1" t="str">
        <f t="shared" si="4"/>
        <v>Low Discount</v>
      </c>
      <c r="F68" s="8">
        <f t="shared" si="3"/>
        <v>153</v>
      </c>
    </row>
    <row r="69" spans="1:6" x14ac:dyDescent="0.3">
      <c r="A69" t="s">
        <v>96</v>
      </c>
      <c r="B69" s="4">
        <v>1526</v>
      </c>
      <c r="C69" s="4">
        <v>1660</v>
      </c>
      <c r="D69" s="1">
        <v>0.08</v>
      </c>
      <c r="E69" s="1" t="str">
        <f t="shared" si="4"/>
        <v>Low Discount</v>
      </c>
      <c r="F69" s="8">
        <f t="shared" si="3"/>
        <v>134</v>
      </c>
    </row>
    <row r="70" spans="1:6" x14ac:dyDescent="0.3">
      <c r="A70" t="s">
        <v>88</v>
      </c>
      <c r="B70" s="4">
        <v>799</v>
      </c>
      <c r="C70" s="4">
        <v>900</v>
      </c>
      <c r="D70" s="1">
        <v>0.11</v>
      </c>
      <c r="E70" s="1" t="str">
        <f t="shared" si="4"/>
        <v>Low Discount</v>
      </c>
      <c r="F70" s="8">
        <f t="shared" si="3"/>
        <v>101</v>
      </c>
    </row>
    <row r="71" spans="1:6" x14ac:dyDescent="0.3">
      <c r="A71" t="s">
        <v>86</v>
      </c>
      <c r="B71" s="4">
        <v>1466</v>
      </c>
      <c r="C71" s="4">
        <v>1699</v>
      </c>
      <c r="D71" s="1">
        <v>0.14000000000000001</v>
      </c>
      <c r="E71" s="1" t="str">
        <f t="shared" si="4"/>
        <v>Low Discount</v>
      </c>
      <c r="F71" s="8">
        <f t="shared" si="3"/>
        <v>233</v>
      </c>
    </row>
    <row r="72" spans="1:6" x14ac:dyDescent="0.3">
      <c r="A72" t="s">
        <v>89</v>
      </c>
      <c r="B72" s="4">
        <v>1468</v>
      </c>
      <c r="C72" s="4">
        <v>1699</v>
      </c>
      <c r="D72" s="1">
        <v>0.14000000000000001</v>
      </c>
      <c r="E72" s="1" t="str">
        <f t="shared" si="4"/>
        <v>Low Discount</v>
      </c>
      <c r="F72" s="8">
        <f t="shared" si="3"/>
        <v>231</v>
      </c>
    </row>
    <row r="73" spans="1:6" x14ac:dyDescent="0.3">
      <c r="A73" t="s">
        <v>55</v>
      </c>
      <c r="B73" s="4">
        <v>299</v>
      </c>
      <c r="C73" s="4">
        <v>384</v>
      </c>
      <c r="D73" s="1">
        <v>0.22</v>
      </c>
      <c r="E73" s="1" t="str">
        <f t="shared" si="4"/>
        <v>Medium Discount</v>
      </c>
      <c r="F73" s="8">
        <f t="shared" si="3"/>
        <v>85</v>
      </c>
    </row>
    <row r="74" spans="1:6" x14ac:dyDescent="0.3">
      <c r="A74" t="s">
        <v>105</v>
      </c>
      <c r="B74" s="4">
        <v>198</v>
      </c>
      <c r="C74" s="4">
        <v>260</v>
      </c>
      <c r="D74" s="1">
        <v>0.24</v>
      </c>
      <c r="E74" s="1" t="str">
        <f t="shared" si="4"/>
        <v>Medium Discount</v>
      </c>
      <c r="F74" s="8">
        <f t="shared" si="3"/>
        <v>62</v>
      </c>
    </row>
    <row r="75" spans="1:6" x14ac:dyDescent="0.3">
      <c r="A75" t="s">
        <v>61</v>
      </c>
      <c r="B75" s="4">
        <v>2799</v>
      </c>
      <c r="C75" s="4">
        <v>3810</v>
      </c>
      <c r="D75" s="1">
        <v>0.27</v>
      </c>
      <c r="E75" s="1" t="str">
        <f t="shared" si="4"/>
        <v>Medium Discount</v>
      </c>
      <c r="F75" s="8">
        <f t="shared" si="3"/>
        <v>1011</v>
      </c>
    </row>
    <row r="76" spans="1:6" x14ac:dyDescent="0.3">
      <c r="A76" t="s">
        <v>49</v>
      </c>
      <c r="B76" s="4">
        <v>1190</v>
      </c>
      <c r="C76" s="4">
        <v>1785</v>
      </c>
      <c r="D76" s="1">
        <v>0.33</v>
      </c>
      <c r="E76" s="1" t="str">
        <f t="shared" si="4"/>
        <v>Medium Discount</v>
      </c>
      <c r="F76" s="8">
        <f t="shared" si="3"/>
        <v>595</v>
      </c>
    </row>
    <row r="77" spans="1:6" x14ac:dyDescent="0.3">
      <c r="A77" t="s">
        <v>106</v>
      </c>
      <c r="B77" s="4">
        <v>1150</v>
      </c>
      <c r="C77" s="4">
        <v>1737</v>
      </c>
      <c r="D77" s="1">
        <v>0.34</v>
      </c>
      <c r="E77" s="1" t="str">
        <f t="shared" si="4"/>
        <v>Medium Discount</v>
      </c>
      <c r="F77" s="8">
        <f t="shared" si="3"/>
        <v>587</v>
      </c>
    </row>
    <row r="78" spans="1:6" x14ac:dyDescent="0.3">
      <c r="A78" t="s">
        <v>107</v>
      </c>
      <c r="B78" s="4">
        <v>1190</v>
      </c>
      <c r="C78" s="4">
        <v>1810</v>
      </c>
      <c r="D78" s="1">
        <v>0.34</v>
      </c>
      <c r="E78" s="1" t="str">
        <f t="shared" si="4"/>
        <v>Medium Discount</v>
      </c>
      <c r="F78" s="8">
        <f t="shared" si="3"/>
        <v>620</v>
      </c>
    </row>
    <row r="79" spans="1:6" x14ac:dyDescent="0.3">
      <c r="A79" t="s">
        <v>83</v>
      </c>
      <c r="B79" s="4">
        <v>1460</v>
      </c>
      <c r="C79" s="4">
        <v>2290</v>
      </c>
      <c r="D79" s="1">
        <v>0.36</v>
      </c>
      <c r="E79" s="1" t="str">
        <f t="shared" si="4"/>
        <v>Medium Discount</v>
      </c>
      <c r="F79" s="8">
        <f t="shared" si="3"/>
        <v>830</v>
      </c>
    </row>
    <row r="80" spans="1:6" x14ac:dyDescent="0.3">
      <c r="A80" t="s">
        <v>43</v>
      </c>
      <c r="B80" s="4">
        <v>2750</v>
      </c>
      <c r="C80" s="4">
        <v>4471</v>
      </c>
      <c r="D80" s="1">
        <v>0.38</v>
      </c>
      <c r="E80" s="1" t="str">
        <f t="shared" si="4"/>
        <v>Medium Discount</v>
      </c>
      <c r="F80" s="8">
        <f t="shared" si="3"/>
        <v>1721</v>
      </c>
    </row>
    <row r="81" spans="1:6" x14ac:dyDescent="0.3">
      <c r="A81" t="s">
        <v>51</v>
      </c>
      <c r="B81" s="4">
        <v>1200</v>
      </c>
      <c r="C81" s="4">
        <v>1950</v>
      </c>
      <c r="D81" s="1">
        <v>0.38</v>
      </c>
      <c r="E81" s="1" t="str">
        <f t="shared" si="4"/>
        <v>Medium Discount</v>
      </c>
      <c r="F81" s="8">
        <f t="shared" si="3"/>
        <v>750</v>
      </c>
    </row>
    <row r="82" spans="1:6" x14ac:dyDescent="0.3">
      <c r="A82" t="s">
        <v>57</v>
      </c>
      <c r="B82" s="4">
        <v>799</v>
      </c>
      <c r="C82" s="4">
        <v>1343</v>
      </c>
      <c r="D82" s="1">
        <v>0.41</v>
      </c>
      <c r="E82" s="1" t="str">
        <f t="shared" si="4"/>
        <v>High Discount</v>
      </c>
      <c r="F82" s="8">
        <f t="shared" ref="F82:F113" si="5">C82-B82</f>
        <v>544</v>
      </c>
    </row>
    <row r="83" spans="1:6" x14ac:dyDescent="0.3">
      <c r="A83" t="s">
        <v>103</v>
      </c>
      <c r="B83" s="4">
        <v>1420</v>
      </c>
      <c r="C83" s="4">
        <v>2420</v>
      </c>
      <c r="D83" s="1">
        <v>0.41</v>
      </c>
      <c r="E83" s="1" t="str">
        <f t="shared" si="4"/>
        <v>High Discount</v>
      </c>
      <c r="F83" s="8">
        <f t="shared" si="5"/>
        <v>1000</v>
      </c>
    </row>
    <row r="84" spans="1:6" x14ac:dyDescent="0.3">
      <c r="A84" t="s">
        <v>25</v>
      </c>
      <c r="B84" s="4">
        <v>1860</v>
      </c>
      <c r="C84" s="4">
        <v>3220</v>
      </c>
      <c r="D84" s="1">
        <v>0.42</v>
      </c>
      <c r="E84" s="1" t="str">
        <f t="shared" si="4"/>
        <v>High Discount</v>
      </c>
      <c r="F84" s="8">
        <f t="shared" si="5"/>
        <v>1360</v>
      </c>
    </row>
    <row r="85" spans="1:6" x14ac:dyDescent="0.3">
      <c r="A85" t="s">
        <v>46</v>
      </c>
      <c r="B85" s="4">
        <v>610</v>
      </c>
      <c r="C85" s="4">
        <v>1060</v>
      </c>
      <c r="D85" s="1">
        <v>0.42</v>
      </c>
      <c r="E85" s="1" t="str">
        <f t="shared" si="4"/>
        <v>High Discount</v>
      </c>
      <c r="F85" s="8">
        <f t="shared" si="5"/>
        <v>450</v>
      </c>
    </row>
    <row r="86" spans="1:6" x14ac:dyDescent="0.3">
      <c r="A86" t="s">
        <v>101</v>
      </c>
      <c r="B86" s="4">
        <v>1080</v>
      </c>
      <c r="C86" s="4">
        <v>1874</v>
      </c>
      <c r="D86" s="1">
        <v>0.42</v>
      </c>
      <c r="E86" s="1" t="str">
        <f t="shared" si="4"/>
        <v>High Discount</v>
      </c>
      <c r="F86" s="8">
        <f t="shared" si="5"/>
        <v>794</v>
      </c>
    </row>
    <row r="87" spans="1:6" x14ac:dyDescent="0.3">
      <c r="A87" t="s">
        <v>78</v>
      </c>
      <c r="B87" s="4">
        <v>690</v>
      </c>
      <c r="C87" s="4">
        <v>1200</v>
      </c>
      <c r="D87" s="1">
        <v>0.43</v>
      </c>
      <c r="E87" s="1" t="str">
        <f t="shared" si="4"/>
        <v>High Discount</v>
      </c>
      <c r="F87" s="8">
        <f t="shared" si="5"/>
        <v>510</v>
      </c>
    </row>
    <row r="88" spans="1:6" x14ac:dyDescent="0.3">
      <c r="A88" t="s">
        <v>90</v>
      </c>
      <c r="B88" s="4">
        <v>630</v>
      </c>
      <c r="C88" s="4">
        <v>1100</v>
      </c>
      <c r="D88" s="1">
        <v>0.43</v>
      </c>
      <c r="E88" s="1" t="str">
        <f t="shared" si="4"/>
        <v>High Discount</v>
      </c>
      <c r="F88" s="8">
        <f t="shared" si="5"/>
        <v>470</v>
      </c>
    </row>
    <row r="89" spans="1:6" x14ac:dyDescent="0.3">
      <c r="A89" t="s">
        <v>58</v>
      </c>
      <c r="B89" s="4">
        <v>499</v>
      </c>
      <c r="C89" s="4">
        <v>900</v>
      </c>
      <c r="D89" s="1">
        <v>0.45</v>
      </c>
      <c r="E89" s="1" t="str">
        <f t="shared" si="4"/>
        <v>High Discount</v>
      </c>
      <c r="F89" s="8">
        <f t="shared" si="5"/>
        <v>401</v>
      </c>
    </row>
    <row r="90" spans="1:6" x14ac:dyDescent="0.3">
      <c r="A90" t="s">
        <v>33</v>
      </c>
      <c r="B90" s="4">
        <v>2200</v>
      </c>
      <c r="C90" s="4">
        <v>4080</v>
      </c>
      <c r="D90" s="1">
        <v>0.46</v>
      </c>
      <c r="E90" s="1" t="str">
        <f t="shared" si="4"/>
        <v>High Discount</v>
      </c>
      <c r="F90" s="8">
        <f t="shared" si="5"/>
        <v>1880</v>
      </c>
    </row>
    <row r="91" spans="1:6" x14ac:dyDescent="0.3">
      <c r="A91" t="s">
        <v>77</v>
      </c>
      <c r="B91" s="4">
        <v>790</v>
      </c>
      <c r="C91" s="4">
        <v>1485</v>
      </c>
      <c r="D91" s="1">
        <v>0.47</v>
      </c>
      <c r="E91" s="1" t="str">
        <f t="shared" si="4"/>
        <v>High Discount</v>
      </c>
      <c r="F91" s="8">
        <f t="shared" si="5"/>
        <v>695</v>
      </c>
    </row>
    <row r="92" spans="1:6" x14ac:dyDescent="0.3">
      <c r="A92" t="s">
        <v>94</v>
      </c>
      <c r="B92" s="4">
        <v>899</v>
      </c>
      <c r="C92" s="4">
        <v>1699</v>
      </c>
      <c r="D92" s="1">
        <v>0.47</v>
      </c>
      <c r="E92" s="1" t="str">
        <f t="shared" si="4"/>
        <v>High Discount</v>
      </c>
      <c r="F92" s="8">
        <f t="shared" si="5"/>
        <v>800</v>
      </c>
    </row>
    <row r="93" spans="1:6" x14ac:dyDescent="0.3">
      <c r="A93" t="s">
        <v>112</v>
      </c>
      <c r="B93" s="4">
        <v>169</v>
      </c>
      <c r="C93" s="4">
        <v>320</v>
      </c>
      <c r="D93" s="1">
        <v>0.47</v>
      </c>
      <c r="E93" s="1" t="str">
        <f t="shared" si="4"/>
        <v>High Discount</v>
      </c>
      <c r="F93" s="8">
        <f t="shared" si="5"/>
        <v>151</v>
      </c>
    </row>
    <row r="94" spans="1:6" x14ac:dyDescent="0.3">
      <c r="A94" t="s">
        <v>59</v>
      </c>
      <c r="B94" s="4">
        <v>699</v>
      </c>
      <c r="C94" s="4">
        <v>1343</v>
      </c>
      <c r="D94" s="1">
        <v>0.48</v>
      </c>
      <c r="E94" s="1" t="str">
        <f t="shared" si="4"/>
        <v>High Discount</v>
      </c>
      <c r="F94" s="8">
        <f t="shared" si="5"/>
        <v>644</v>
      </c>
    </row>
    <row r="95" spans="1:6" x14ac:dyDescent="0.3">
      <c r="A95" t="s">
        <v>92</v>
      </c>
      <c r="B95" s="4">
        <v>1300</v>
      </c>
      <c r="C95" s="4">
        <v>2500</v>
      </c>
      <c r="D95" s="1">
        <v>0.48</v>
      </c>
      <c r="E95" s="1" t="str">
        <f t="shared" si="4"/>
        <v>High Discount</v>
      </c>
      <c r="F95" s="8">
        <f t="shared" si="5"/>
        <v>1200</v>
      </c>
    </row>
    <row r="96" spans="1:6" x14ac:dyDescent="0.3">
      <c r="A96" t="s">
        <v>93</v>
      </c>
      <c r="B96" s="4">
        <v>105</v>
      </c>
      <c r="C96" s="4">
        <v>200</v>
      </c>
      <c r="D96" s="1">
        <v>0.48</v>
      </c>
      <c r="E96" s="1" t="str">
        <f t="shared" si="4"/>
        <v>High Discount</v>
      </c>
      <c r="F96" s="8">
        <f t="shared" si="5"/>
        <v>95</v>
      </c>
    </row>
    <row r="97" spans="1:6" x14ac:dyDescent="0.3">
      <c r="A97" t="s">
        <v>44</v>
      </c>
      <c r="B97" s="4">
        <v>475</v>
      </c>
      <c r="C97" s="4">
        <v>931</v>
      </c>
      <c r="D97" s="1">
        <v>0.49</v>
      </c>
      <c r="E97" s="1" t="str">
        <f t="shared" si="4"/>
        <v>High Discount</v>
      </c>
      <c r="F97" s="8">
        <f t="shared" si="5"/>
        <v>456</v>
      </c>
    </row>
    <row r="98" spans="1:6" x14ac:dyDescent="0.3">
      <c r="A98" t="s">
        <v>50</v>
      </c>
      <c r="B98" s="4">
        <v>671</v>
      </c>
      <c r="C98" s="4">
        <v>1316</v>
      </c>
      <c r="D98" s="1">
        <v>0.49</v>
      </c>
      <c r="E98" s="1" t="str">
        <f t="shared" si="4"/>
        <v>High Discount</v>
      </c>
      <c r="F98" s="8">
        <f t="shared" si="5"/>
        <v>645</v>
      </c>
    </row>
    <row r="99" spans="1:6" x14ac:dyDescent="0.3">
      <c r="A99" t="s">
        <v>60</v>
      </c>
      <c r="B99" s="4">
        <v>799</v>
      </c>
      <c r="C99" s="4">
        <v>1567</v>
      </c>
      <c r="D99" s="1">
        <v>0.49</v>
      </c>
      <c r="E99" s="1" t="str">
        <f t="shared" si="4"/>
        <v>High Discount</v>
      </c>
      <c r="F99" s="8">
        <f t="shared" si="5"/>
        <v>768</v>
      </c>
    </row>
    <row r="100" spans="1:6" x14ac:dyDescent="0.3">
      <c r="A100" t="s">
        <v>80</v>
      </c>
      <c r="B100" s="4">
        <v>230</v>
      </c>
      <c r="C100" s="4">
        <v>450</v>
      </c>
      <c r="D100" s="1">
        <v>0.49</v>
      </c>
      <c r="E100" s="1" t="str">
        <f t="shared" si="4"/>
        <v>High Discount</v>
      </c>
      <c r="F100" s="8">
        <f t="shared" si="5"/>
        <v>220</v>
      </c>
    </row>
    <row r="101" spans="1:6" x14ac:dyDescent="0.3">
      <c r="A101" t="s">
        <v>52</v>
      </c>
      <c r="B101" s="4">
        <v>176</v>
      </c>
      <c r="C101" s="4">
        <v>345</v>
      </c>
      <c r="D101" s="1">
        <v>0.49</v>
      </c>
      <c r="E101" s="1" t="str">
        <f t="shared" si="4"/>
        <v>High Discount</v>
      </c>
      <c r="F101" s="8">
        <f t="shared" si="5"/>
        <v>169</v>
      </c>
    </row>
    <row r="102" spans="1:6" x14ac:dyDescent="0.3">
      <c r="A102" t="s">
        <v>87</v>
      </c>
      <c r="B102" s="4">
        <v>274</v>
      </c>
      <c r="C102" s="4">
        <v>537</v>
      </c>
      <c r="D102" s="1">
        <v>0.49</v>
      </c>
      <c r="E102" s="1" t="str">
        <f t="shared" si="4"/>
        <v>High Discount</v>
      </c>
      <c r="F102" s="8">
        <f t="shared" si="5"/>
        <v>263</v>
      </c>
    </row>
    <row r="103" spans="1:6" x14ac:dyDescent="0.3">
      <c r="A103" t="s">
        <v>60</v>
      </c>
      <c r="B103" s="4">
        <v>657</v>
      </c>
      <c r="C103" s="4">
        <v>1288</v>
      </c>
      <c r="D103" s="1">
        <v>0.49</v>
      </c>
      <c r="E103" s="1" t="str">
        <f t="shared" si="4"/>
        <v>High Discount</v>
      </c>
      <c r="F103" s="8">
        <f t="shared" si="5"/>
        <v>631</v>
      </c>
    </row>
    <row r="104" spans="1:6" x14ac:dyDescent="0.3">
      <c r="A104" t="s">
        <v>98</v>
      </c>
      <c r="B104" s="4">
        <v>248</v>
      </c>
      <c r="C104" s="4">
        <v>486</v>
      </c>
      <c r="D104" s="1">
        <v>0.49</v>
      </c>
      <c r="E104" s="1" t="str">
        <f t="shared" si="4"/>
        <v>High Discount</v>
      </c>
      <c r="F104" s="8">
        <f t="shared" si="5"/>
        <v>238</v>
      </c>
    </row>
    <row r="105" spans="1:6" x14ac:dyDescent="0.3">
      <c r="A105" t="s">
        <v>100</v>
      </c>
      <c r="B105" s="4">
        <v>525</v>
      </c>
      <c r="C105" s="4">
        <v>1029</v>
      </c>
      <c r="D105" s="1">
        <v>0.49</v>
      </c>
      <c r="E105" s="1" t="str">
        <f t="shared" si="4"/>
        <v>High Discount</v>
      </c>
      <c r="F105" s="8">
        <f t="shared" si="5"/>
        <v>504</v>
      </c>
    </row>
    <row r="106" spans="1:6" x14ac:dyDescent="0.3">
      <c r="A106" t="s">
        <v>45</v>
      </c>
      <c r="B106" s="4">
        <v>238</v>
      </c>
      <c r="C106" s="4">
        <v>476</v>
      </c>
      <c r="D106" s="1">
        <v>0.5</v>
      </c>
      <c r="E106" s="1" t="str">
        <f t="shared" si="4"/>
        <v>High Discount</v>
      </c>
      <c r="F106" s="8">
        <f t="shared" si="5"/>
        <v>238</v>
      </c>
    </row>
    <row r="107" spans="1:6" x14ac:dyDescent="0.3">
      <c r="A107" t="s">
        <v>48</v>
      </c>
      <c r="B107" s="4">
        <v>999</v>
      </c>
      <c r="C107" s="4">
        <v>2000</v>
      </c>
      <c r="D107" s="1">
        <v>0.5</v>
      </c>
      <c r="E107" s="1" t="str">
        <f t="shared" si="4"/>
        <v>High Discount</v>
      </c>
      <c r="F107" s="8">
        <f t="shared" si="5"/>
        <v>1001</v>
      </c>
    </row>
    <row r="108" spans="1:6" x14ac:dyDescent="0.3">
      <c r="A108" t="s">
        <v>53</v>
      </c>
      <c r="B108" s="4">
        <v>299</v>
      </c>
      <c r="C108" s="4">
        <v>600</v>
      </c>
      <c r="D108" s="1">
        <v>0.5</v>
      </c>
      <c r="E108" s="1" t="str">
        <f t="shared" si="4"/>
        <v>High Discount</v>
      </c>
      <c r="F108" s="8">
        <f t="shared" si="5"/>
        <v>301</v>
      </c>
    </row>
    <row r="109" spans="1:6" x14ac:dyDescent="0.3">
      <c r="A109" t="s">
        <v>91</v>
      </c>
      <c r="B109" s="4">
        <v>850</v>
      </c>
      <c r="C109" s="4">
        <v>1700</v>
      </c>
      <c r="D109" s="1">
        <v>0.5</v>
      </c>
      <c r="E109" s="1" t="str">
        <f t="shared" si="4"/>
        <v>High Discount</v>
      </c>
      <c r="F109" s="8">
        <f t="shared" si="5"/>
        <v>850</v>
      </c>
    </row>
    <row r="110" spans="1:6" x14ac:dyDescent="0.3">
      <c r="A110" t="s">
        <v>95</v>
      </c>
      <c r="B110" s="4">
        <v>1200</v>
      </c>
      <c r="C110" s="4">
        <v>2400</v>
      </c>
      <c r="D110" s="1">
        <v>0.5</v>
      </c>
      <c r="E110" s="1" t="str">
        <f t="shared" si="4"/>
        <v>High Discount</v>
      </c>
      <c r="F110" s="8">
        <f t="shared" si="5"/>
        <v>1200</v>
      </c>
    </row>
    <row r="111" spans="1:6" x14ac:dyDescent="0.3">
      <c r="A111" t="s">
        <v>58</v>
      </c>
      <c r="B111" s="4">
        <v>399</v>
      </c>
      <c r="C111" s="4">
        <v>896</v>
      </c>
      <c r="D111" s="1">
        <v>0.55000000000000004</v>
      </c>
      <c r="E111" s="1" t="str">
        <f t="shared" si="4"/>
        <v>High Discount</v>
      </c>
      <c r="F111" s="8">
        <f t="shared" si="5"/>
        <v>497</v>
      </c>
    </row>
    <row r="112" spans="1:6" x14ac:dyDescent="0.3">
      <c r="A112" t="s">
        <v>52</v>
      </c>
      <c r="B112" s="4">
        <v>199</v>
      </c>
      <c r="C112" s="4">
        <v>504</v>
      </c>
      <c r="D112" s="1">
        <v>0.61</v>
      </c>
      <c r="E112" s="1" t="str">
        <f t="shared" si="4"/>
        <v>High Discount</v>
      </c>
      <c r="F112" s="8">
        <f t="shared" si="5"/>
        <v>305</v>
      </c>
    </row>
    <row r="113" spans="1:8" x14ac:dyDescent="0.3">
      <c r="A113" t="s">
        <v>110</v>
      </c>
      <c r="B113" s="4">
        <v>199</v>
      </c>
      <c r="C113" s="4">
        <v>553</v>
      </c>
      <c r="D113" s="1">
        <v>0.64</v>
      </c>
      <c r="E113" s="1" t="str">
        <f t="shared" si="4"/>
        <v>High Discount</v>
      </c>
      <c r="F113" s="8">
        <f t="shared" si="5"/>
        <v>354</v>
      </c>
    </row>
    <row r="114" spans="1:8" x14ac:dyDescent="0.3">
      <c r="B114"/>
      <c r="C114"/>
      <c r="D114"/>
      <c r="E114"/>
      <c r="F114"/>
      <c r="H114"/>
    </row>
    <row r="115" spans="1:8" x14ac:dyDescent="0.3">
      <c r="B115"/>
      <c r="C115"/>
      <c r="D115"/>
      <c r="E115"/>
      <c r="F115"/>
      <c r="H115"/>
    </row>
    <row r="116" spans="1:8" x14ac:dyDescent="0.3">
      <c r="B116"/>
      <c r="C116"/>
      <c r="D116"/>
      <c r="E116"/>
      <c r="F116"/>
      <c r="H116"/>
    </row>
  </sheetData>
  <autoFilter ref="A1:H113" xr:uid="{61AD5E62-4153-46AF-9EF6-FCB9F9709F4E}">
    <sortState xmlns:xlrd2="http://schemas.microsoft.com/office/spreadsheetml/2017/richdata2" ref="A2:H113">
      <sortCondition descending="1" ref="G1:G116"/>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85BD-92F0-4197-8185-EEE1A2B2BF77}">
  <dimension ref="A1:J114"/>
  <sheetViews>
    <sheetView workbookViewId="0">
      <pane ySplit="1" topLeftCell="A2" activePane="bottomLeft" state="frozen"/>
      <selection pane="bottomLeft" activeCell="A116" sqref="A116"/>
    </sheetView>
  </sheetViews>
  <sheetFormatPr defaultRowHeight="14.4" x14ac:dyDescent="0.3"/>
  <cols>
    <col min="1" max="1" width="87.88671875" bestFit="1" customWidth="1"/>
    <col min="2" max="2" width="27.5546875" customWidth="1"/>
    <col min="3" max="3" width="13.77734375" customWidth="1"/>
    <col min="4" max="4" width="10.33203125" customWidth="1"/>
    <col min="5" max="5" width="10.21875" customWidth="1"/>
    <col min="6" max="6" width="15.33203125" bestFit="1" customWidth="1"/>
    <col min="7" max="7" width="14.88671875" style="4" customWidth="1"/>
    <col min="8" max="8" width="8.88671875" style="8" customWidth="1"/>
    <col min="9" max="9" width="9" customWidth="1"/>
    <col min="10" max="10" width="16.21875" customWidth="1"/>
  </cols>
  <sheetData>
    <row r="1" spans="1:10" x14ac:dyDescent="0.3">
      <c r="A1" s="2" t="s">
        <v>0</v>
      </c>
      <c r="B1" s="2" t="s">
        <v>134</v>
      </c>
      <c r="C1" s="3" t="s">
        <v>1</v>
      </c>
      <c r="D1" s="3" t="s">
        <v>113</v>
      </c>
      <c r="E1" s="5" t="s">
        <v>2</v>
      </c>
      <c r="F1" s="5" t="s">
        <v>119</v>
      </c>
      <c r="G1" s="3" t="s">
        <v>117</v>
      </c>
      <c r="H1" s="9" t="s">
        <v>3</v>
      </c>
      <c r="I1" s="6" t="s">
        <v>114</v>
      </c>
      <c r="J1" s="2" t="s">
        <v>118</v>
      </c>
    </row>
    <row r="2" spans="1:10" x14ac:dyDescent="0.3">
      <c r="A2" t="s">
        <v>65</v>
      </c>
      <c r="B2" t="s">
        <v>135</v>
      </c>
      <c r="C2" s="4">
        <v>445</v>
      </c>
      <c r="D2" s="4">
        <v>873</v>
      </c>
      <c r="E2" s="1">
        <v>0.49</v>
      </c>
      <c r="F2" s="1" t="str">
        <f>IF(E2&lt;20%, "Low Discount", IF(E2&lt;=40%, "Medium Discount", "High Discount"))</f>
        <v>High Discount</v>
      </c>
      <c r="G2" s="4">
        <f t="shared" ref="G2:G48" si="0">D2-C2</f>
        <v>428</v>
      </c>
      <c r="H2" s="8">
        <v>69</v>
      </c>
      <c r="I2" s="7">
        <v>2.8</v>
      </c>
      <c r="J2" t="str">
        <f>IF(I2&lt;3,"Poor",IF(I2&lt;=4,"Average",IF(I2&lt;4.5,"Good","Excellent")))</f>
        <v>Poor</v>
      </c>
    </row>
    <row r="3" spans="1:10" x14ac:dyDescent="0.3">
      <c r="A3" t="s">
        <v>10</v>
      </c>
      <c r="B3" t="s">
        <v>136</v>
      </c>
      <c r="C3" s="4">
        <v>2319</v>
      </c>
      <c r="D3" s="4">
        <v>3032</v>
      </c>
      <c r="E3" s="1">
        <v>0.24</v>
      </c>
      <c r="F3" s="1" t="str">
        <f t="shared" ref="F3:F66" si="1">IF(E3&lt;20%, "Low Discount", IF(E3&lt;=40%, "Medium Discount", "High Discount"))</f>
        <v>Medium Discount</v>
      </c>
      <c r="G3" s="4">
        <f t="shared" si="0"/>
        <v>713</v>
      </c>
      <c r="H3" s="8">
        <v>55</v>
      </c>
      <c r="I3" s="7">
        <v>4.5999999999999996</v>
      </c>
      <c r="J3" t="str">
        <f t="shared" ref="J3:J58" si="2">IF(I3&lt;3,"Poor",IF(I3&lt;=4,"Average",IF(I3&lt;4.5,"Good","Excellent")))</f>
        <v>Excellent</v>
      </c>
    </row>
    <row r="4" spans="1:10" x14ac:dyDescent="0.3">
      <c r="A4" t="s">
        <v>29</v>
      </c>
      <c r="B4" t="s">
        <v>137</v>
      </c>
      <c r="C4" s="4">
        <v>420</v>
      </c>
      <c r="D4" s="4">
        <v>647</v>
      </c>
      <c r="E4" s="1">
        <v>0.35</v>
      </c>
      <c r="F4" s="1" t="str">
        <f t="shared" si="1"/>
        <v>Medium Discount</v>
      </c>
      <c r="G4" s="4">
        <f t="shared" si="0"/>
        <v>227</v>
      </c>
      <c r="H4" s="8">
        <v>49</v>
      </c>
      <c r="I4" s="7">
        <v>4.5999999999999996</v>
      </c>
      <c r="J4" t="str">
        <f t="shared" si="2"/>
        <v>Excellent</v>
      </c>
    </row>
    <row r="5" spans="1:10" x14ac:dyDescent="0.3">
      <c r="A5" t="s">
        <v>23</v>
      </c>
      <c r="B5" s="13" t="s">
        <v>138</v>
      </c>
      <c r="C5" s="4">
        <v>998</v>
      </c>
      <c r="D5" s="4">
        <v>1966</v>
      </c>
      <c r="E5" s="1">
        <v>0.49</v>
      </c>
      <c r="F5" s="1" t="str">
        <f t="shared" si="1"/>
        <v>High Discount</v>
      </c>
      <c r="G5" s="4">
        <f t="shared" si="0"/>
        <v>968</v>
      </c>
      <c r="H5" s="8">
        <v>44</v>
      </c>
      <c r="I5" s="7">
        <v>4.5999999999999996</v>
      </c>
      <c r="J5" t="str">
        <f t="shared" si="2"/>
        <v>Excellent</v>
      </c>
    </row>
    <row r="6" spans="1:10" x14ac:dyDescent="0.3">
      <c r="A6" t="s">
        <v>15</v>
      </c>
      <c r="B6" s="13" t="s">
        <v>136</v>
      </c>
      <c r="C6" s="4">
        <v>990</v>
      </c>
      <c r="D6" s="4">
        <v>1500</v>
      </c>
      <c r="E6" s="1">
        <v>0.34</v>
      </c>
      <c r="F6" s="1" t="str">
        <f t="shared" si="1"/>
        <v>Medium Discount</v>
      </c>
      <c r="G6" s="4">
        <f t="shared" si="0"/>
        <v>510</v>
      </c>
      <c r="H6" s="8">
        <v>39</v>
      </c>
      <c r="I6" s="7">
        <v>4.7</v>
      </c>
      <c r="J6" t="str">
        <f t="shared" si="2"/>
        <v>Excellent</v>
      </c>
    </row>
    <row r="7" spans="1:10" x14ac:dyDescent="0.3">
      <c r="A7" t="s">
        <v>41</v>
      </c>
      <c r="B7" s="13" t="s">
        <v>138</v>
      </c>
      <c r="C7" s="4">
        <v>389</v>
      </c>
      <c r="D7" s="4">
        <v>656</v>
      </c>
      <c r="E7" s="1">
        <v>0.41</v>
      </c>
      <c r="F7" s="1" t="str">
        <f t="shared" si="1"/>
        <v>High Discount</v>
      </c>
      <c r="G7" s="4">
        <f t="shared" si="0"/>
        <v>267</v>
      </c>
      <c r="H7" s="8">
        <v>36</v>
      </c>
      <c r="I7" s="7">
        <v>4.3</v>
      </c>
      <c r="J7" t="str">
        <f t="shared" si="2"/>
        <v>Good</v>
      </c>
    </row>
    <row r="8" spans="1:10" x14ac:dyDescent="0.3">
      <c r="A8" t="s">
        <v>38</v>
      </c>
      <c r="B8" s="13" t="s">
        <v>136</v>
      </c>
      <c r="C8" s="4">
        <v>1980</v>
      </c>
      <c r="D8" s="4">
        <v>2699</v>
      </c>
      <c r="E8" s="1">
        <v>0.27</v>
      </c>
      <c r="F8" s="1" t="str">
        <f t="shared" si="1"/>
        <v>Medium Discount</v>
      </c>
      <c r="G8" s="4">
        <f t="shared" si="0"/>
        <v>719</v>
      </c>
      <c r="H8" s="8">
        <v>32</v>
      </c>
      <c r="I8" s="7">
        <v>4.5</v>
      </c>
      <c r="J8" t="str">
        <f t="shared" si="2"/>
        <v>Excellent</v>
      </c>
    </row>
    <row r="9" spans="1:10" x14ac:dyDescent="0.3">
      <c r="A9" t="s">
        <v>6</v>
      </c>
      <c r="B9" s="13" t="s">
        <v>139</v>
      </c>
      <c r="C9" s="4">
        <v>2199</v>
      </c>
      <c r="D9" s="4">
        <v>2923</v>
      </c>
      <c r="E9" s="1">
        <v>0.25</v>
      </c>
      <c r="F9" s="1" t="str">
        <f t="shared" si="1"/>
        <v>Medium Discount</v>
      </c>
      <c r="G9" s="4">
        <f t="shared" si="0"/>
        <v>724</v>
      </c>
      <c r="H9" s="8">
        <v>24</v>
      </c>
      <c r="I9" s="7">
        <v>4.5999999999999996</v>
      </c>
      <c r="J9" t="str">
        <f t="shared" si="2"/>
        <v>Excellent</v>
      </c>
    </row>
    <row r="10" spans="1:10" x14ac:dyDescent="0.3">
      <c r="A10" t="s">
        <v>37</v>
      </c>
      <c r="B10" s="13" t="s">
        <v>136</v>
      </c>
      <c r="C10" s="4">
        <v>1940</v>
      </c>
      <c r="D10" s="4">
        <v>2650</v>
      </c>
      <c r="E10" s="1">
        <v>0.27</v>
      </c>
      <c r="F10" s="1" t="str">
        <f t="shared" si="1"/>
        <v>Medium Discount</v>
      </c>
      <c r="G10" s="4">
        <f t="shared" si="0"/>
        <v>710</v>
      </c>
      <c r="H10" s="8">
        <v>20</v>
      </c>
      <c r="I10" s="7">
        <v>4.7</v>
      </c>
      <c r="J10" t="str">
        <f t="shared" si="2"/>
        <v>Excellent</v>
      </c>
    </row>
    <row r="11" spans="1:10" x14ac:dyDescent="0.3">
      <c r="A11" t="s">
        <v>32</v>
      </c>
      <c r="B11" s="13" t="s">
        <v>136</v>
      </c>
      <c r="C11" s="4">
        <v>1758</v>
      </c>
      <c r="D11" s="4">
        <v>2499</v>
      </c>
      <c r="E11" s="1">
        <v>0.3</v>
      </c>
      <c r="F11" s="1" t="str">
        <f t="shared" si="1"/>
        <v>Medium Discount</v>
      </c>
      <c r="G11" s="4">
        <f t="shared" si="0"/>
        <v>741</v>
      </c>
      <c r="H11" s="8">
        <v>20</v>
      </c>
      <c r="I11" s="7">
        <v>4.0999999999999996</v>
      </c>
      <c r="J11" t="str">
        <f t="shared" si="2"/>
        <v>Good</v>
      </c>
    </row>
    <row r="12" spans="1:10" x14ac:dyDescent="0.3">
      <c r="A12" t="s">
        <v>71</v>
      </c>
      <c r="B12" s="13" t="s">
        <v>138</v>
      </c>
      <c r="C12" s="4">
        <v>382</v>
      </c>
      <c r="D12" s="4">
        <v>700</v>
      </c>
      <c r="E12" s="1">
        <v>0.45</v>
      </c>
      <c r="F12" s="1" t="str">
        <f t="shared" si="1"/>
        <v>High Discount</v>
      </c>
      <c r="G12" s="4">
        <f t="shared" si="0"/>
        <v>318</v>
      </c>
      <c r="H12" s="8">
        <v>17</v>
      </c>
      <c r="I12" s="7">
        <v>2.6</v>
      </c>
      <c r="J12" t="str">
        <f t="shared" si="2"/>
        <v>Poor</v>
      </c>
    </row>
    <row r="13" spans="1:10" x14ac:dyDescent="0.3">
      <c r="A13" t="s">
        <v>67</v>
      </c>
      <c r="B13" s="13" t="s">
        <v>135</v>
      </c>
      <c r="C13" s="4">
        <v>1220</v>
      </c>
      <c r="D13" s="4">
        <v>1555</v>
      </c>
      <c r="E13" s="1">
        <v>0.22</v>
      </c>
      <c r="F13" s="1" t="str">
        <f t="shared" si="1"/>
        <v>Medium Discount</v>
      </c>
      <c r="G13" s="4">
        <f t="shared" si="0"/>
        <v>335</v>
      </c>
      <c r="H13" s="8">
        <v>16</v>
      </c>
      <c r="I13" s="7">
        <v>2.9</v>
      </c>
      <c r="J13" t="str">
        <f t="shared" si="2"/>
        <v>Poor</v>
      </c>
    </row>
    <row r="14" spans="1:10" x14ac:dyDescent="0.3">
      <c r="A14" t="s">
        <v>9</v>
      </c>
      <c r="B14" s="13" t="s">
        <v>137</v>
      </c>
      <c r="C14" s="4">
        <v>2999</v>
      </c>
      <c r="D14" s="4">
        <v>3290</v>
      </c>
      <c r="E14" s="1">
        <v>0.09</v>
      </c>
      <c r="F14" s="1" t="str">
        <f t="shared" si="1"/>
        <v>Low Discount</v>
      </c>
      <c r="G14" s="4">
        <f t="shared" si="0"/>
        <v>291</v>
      </c>
      <c r="H14" s="8">
        <v>15</v>
      </c>
      <c r="I14" s="7">
        <v>4</v>
      </c>
      <c r="J14" t="str">
        <f t="shared" si="2"/>
        <v>Average</v>
      </c>
    </row>
    <row r="15" spans="1:10" x14ac:dyDescent="0.3">
      <c r="A15" t="s">
        <v>66</v>
      </c>
      <c r="B15" s="13" t="s">
        <v>140</v>
      </c>
      <c r="C15" s="4">
        <v>325</v>
      </c>
      <c r="D15" s="4">
        <v>680</v>
      </c>
      <c r="E15" s="1">
        <v>0.52</v>
      </c>
      <c r="F15" s="1" t="str">
        <f t="shared" si="1"/>
        <v>High Discount</v>
      </c>
      <c r="G15" s="4">
        <f t="shared" si="0"/>
        <v>355</v>
      </c>
      <c r="H15" s="8">
        <v>15</v>
      </c>
      <c r="I15" s="7">
        <v>2.7</v>
      </c>
      <c r="J15" t="str">
        <f t="shared" si="2"/>
        <v>Poor</v>
      </c>
    </row>
    <row r="16" spans="1:10" x14ac:dyDescent="0.3">
      <c r="A16" t="s">
        <v>27</v>
      </c>
      <c r="B16" s="13" t="s">
        <v>141</v>
      </c>
      <c r="C16" s="4">
        <v>1650</v>
      </c>
      <c r="D16" s="4">
        <v>2150</v>
      </c>
      <c r="E16" s="1">
        <v>0.23</v>
      </c>
      <c r="F16" s="1" t="str">
        <f t="shared" si="1"/>
        <v>Medium Discount</v>
      </c>
      <c r="G16" s="4">
        <f t="shared" si="0"/>
        <v>500</v>
      </c>
      <c r="H16" s="8">
        <v>14</v>
      </c>
      <c r="I16" s="7">
        <v>4.4000000000000004</v>
      </c>
      <c r="J16" t="str">
        <f t="shared" si="2"/>
        <v>Good</v>
      </c>
    </row>
    <row r="17" spans="1:10" x14ac:dyDescent="0.3">
      <c r="A17" t="s">
        <v>5</v>
      </c>
      <c r="B17" s="13" t="s">
        <v>142</v>
      </c>
      <c r="C17" s="4">
        <v>527</v>
      </c>
      <c r="D17" s="4">
        <v>999</v>
      </c>
      <c r="E17" s="1">
        <v>0.47</v>
      </c>
      <c r="F17" s="1" t="str">
        <f t="shared" si="1"/>
        <v>High Discount</v>
      </c>
      <c r="G17" s="4">
        <f t="shared" si="0"/>
        <v>472</v>
      </c>
      <c r="H17" s="8">
        <v>14</v>
      </c>
      <c r="I17" s="7">
        <v>4.0999999999999996</v>
      </c>
      <c r="J17" t="str">
        <f t="shared" si="2"/>
        <v>Good</v>
      </c>
    </row>
    <row r="18" spans="1:10" x14ac:dyDescent="0.3">
      <c r="A18" t="s">
        <v>31</v>
      </c>
      <c r="B18" s="13" t="s">
        <v>143</v>
      </c>
      <c r="C18" s="4">
        <v>1350</v>
      </c>
      <c r="D18" s="4">
        <v>1990</v>
      </c>
      <c r="E18" s="1">
        <v>0.32</v>
      </c>
      <c r="F18" s="1" t="str">
        <f t="shared" si="1"/>
        <v>Medium Discount</v>
      </c>
      <c r="G18" s="4">
        <f t="shared" si="0"/>
        <v>640</v>
      </c>
      <c r="H18" s="8">
        <v>13</v>
      </c>
      <c r="I18" s="7">
        <v>3.8</v>
      </c>
      <c r="J18" t="str">
        <f t="shared" si="2"/>
        <v>Average</v>
      </c>
    </row>
    <row r="19" spans="1:10" x14ac:dyDescent="0.3">
      <c r="A19" t="s">
        <v>24</v>
      </c>
      <c r="B19" s="13" t="s">
        <v>136</v>
      </c>
      <c r="C19" s="4">
        <v>38</v>
      </c>
      <c r="D19" s="4">
        <v>80</v>
      </c>
      <c r="E19" s="1">
        <v>0.53</v>
      </c>
      <c r="F19" s="1" t="str">
        <f t="shared" si="1"/>
        <v>High Discount</v>
      </c>
      <c r="G19" s="4">
        <f t="shared" si="0"/>
        <v>42</v>
      </c>
      <c r="H19" s="8">
        <v>13</v>
      </c>
      <c r="I19" s="7">
        <v>3.3</v>
      </c>
      <c r="J19" t="str">
        <f t="shared" si="2"/>
        <v>Average</v>
      </c>
    </row>
    <row r="20" spans="1:10" x14ac:dyDescent="0.3">
      <c r="A20" t="s">
        <v>64</v>
      </c>
      <c r="B20" s="13" t="s">
        <v>143</v>
      </c>
      <c r="C20" s="4">
        <v>2115</v>
      </c>
      <c r="D20" s="4">
        <v>4700</v>
      </c>
      <c r="E20" s="1">
        <v>0.55000000000000004</v>
      </c>
      <c r="F20" s="1" t="str">
        <f t="shared" si="1"/>
        <v>High Discount</v>
      </c>
      <c r="G20" s="4">
        <f t="shared" si="0"/>
        <v>2585</v>
      </c>
      <c r="H20" s="8">
        <v>13</v>
      </c>
      <c r="I20" s="7">
        <v>2.1</v>
      </c>
      <c r="J20" t="str">
        <f t="shared" si="2"/>
        <v>Poor</v>
      </c>
    </row>
    <row r="21" spans="1:10" x14ac:dyDescent="0.3">
      <c r="A21" t="s">
        <v>30</v>
      </c>
      <c r="B21" s="13" t="s">
        <v>141</v>
      </c>
      <c r="C21" s="4">
        <v>2880</v>
      </c>
      <c r="D21" s="4">
        <v>3520</v>
      </c>
      <c r="E21" s="1">
        <v>0.18</v>
      </c>
      <c r="F21" s="1" t="str">
        <f t="shared" si="1"/>
        <v>Low Discount</v>
      </c>
      <c r="G21" s="4">
        <f t="shared" si="0"/>
        <v>640</v>
      </c>
      <c r="H21" s="8">
        <v>12</v>
      </c>
      <c r="I21" s="7">
        <v>3.8</v>
      </c>
      <c r="J21" t="str">
        <f t="shared" si="2"/>
        <v>Average</v>
      </c>
    </row>
    <row r="22" spans="1:10" x14ac:dyDescent="0.3">
      <c r="A22" t="s">
        <v>14</v>
      </c>
      <c r="B22" s="13" t="s">
        <v>137</v>
      </c>
      <c r="C22" s="4">
        <v>799</v>
      </c>
      <c r="D22" s="4">
        <v>999</v>
      </c>
      <c r="E22" s="1">
        <v>0.2</v>
      </c>
      <c r="F22" s="1" t="str">
        <f t="shared" si="1"/>
        <v>Medium Discount</v>
      </c>
      <c r="G22" s="4">
        <f t="shared" si="0"/>
        <v>200</v>
      </c>
      <c r="H22" s="8">
        <v>12</v>
      </c>
      <c r="I22" s="7">
        <v>4.0999999999999996</v>
      </c>
      <c r="J22" t="str">
        <f t="shared" si="2"/>
        <v>Good</v>
      </c>
    </row>
    <row r="23" spans="1:10" x14ac:dyDescent="0.3">
      <c r="A23" t="s">
        <v>35</v>
      </c>
      <c r="B23" s="13" t="s">
        <v>143</v>
      </c>
      <c r="C23" s="4">
        <v>980</v>
      </c>
      <c r="D23" s="4">
        <v>1490</v>
      </c>
      <c r="E23" s="1">
        <v>0.34</v>
      </c>
      <c r="F23" s="1" t="str">
        <f t="shared" si="1"/>
        <v>Medium Discount</v>
      </c>
      <c r="G23" s="4">
        <f t="shared" si="0"/>
        <v>510</v>
      </c>
      <c r="H23" s="8">
        <v>12</v>
      </c>
      <c r="I23" s="7">
        <v>4.7</v>
      </c>
      <c r="J23" t="str">
        <f t="shared" si="2"/>
        <v>Excellent</v>
      </c>
    </row>
    <row r="24" spans="1:10" x14ac:dyDescent="0.3">
      <c r="A24" t="s">
        <v>16</v>
      </c>
      <c r="B24" s="13" t="s">
        <v>142</v>
      </c>
      <c r="C24" s="4">
        <v>552</v>
      </c>
      <c r="D24" s="4">
        <v>1035</v>
      </c>
      <c r="E24" s="1">
        <v>0.47</v>
      </c>
      <c r="F24" s="1" t="str">
        <f t="shared" si="1"/>
        <v>High Discount</v>
      </c>
      <c r="G24" s="4">
        <f t="shared" si="0"/>
        <v>483</v>
      </c>
      <c r="H24" s="8">
        <v>12</v>
      </c>
      <c r="I24" s="7">
        <v>4.8</v>
      </c>
      <c r="J24" t="str">
        <f t="shared" si="2"/>
        <v>Excellent</v>
      </c>
    </row>
    <row r="25" spans="1:10" x14ac:dyDescent="0.3">
      <c r="A25" t="s">
        <v>63</v>
      </c>
      <c r="B25" s="13" t="s">
        <v>140</v>
      </c>
      <c r="C25" s="4">
        <v>458</v>
      </c>
      <c r="D25" s="4">
        <v>986</v>
      </c>
      <c r="E25" s="1">
        <v>0.54</v>
      </c>
      <c r="F25" s="1" t="str">
        <f t="shared" si="1"/>
        <v>High Discount</v>
      </c>
      <c r="G25" s="4">
        <f t="shared" si="0"/>
        <v>528</v>
      </c>
      <c r="H25" s="8">
        <v>10</v>
      </c>
      <c r="I25" s="7">
        <v>3</v>
      </c>
      <c r="J25" t="str">
        <f t="shared" si="2"/>
        <v>Average</v>
      </c>
    </row>
    <row r="26" spans="1:10" x14ac:dyDescent="0.3">
      <c r="A26" t="s">
        <v>18</v>
      </c>
      <c r="B26" s="13" t="s">
        <v>137</v>
      </c>
      <c r="C26" s="4">
        <v>1680</v>
      </c>
      <c r="D26" s="4">
        <v>2499</v>
      </c>
      <c r="E26" s="1">
        <v>0.33</v>
      </c>
      <c r="F26" s="1" t="str">
        <f t="shared" si="1"/>
        <v>Medium Discount</v>
      </c>
      <c r="G26" s="4">
        <f t="shared" si="0"/>
        <v>819</v>
      </c>
      <c r="H26" s="8">
        <v>9</v>
      </c>
      <c r="I26" s="7">
        <v>4.2</v>
      </c>
      <c r="J26" t="str">
        <f t="shared" si="2"/>
        <v>Good</v>
      </c>
    </row>
    <row r="27" spans="1:10" x14ac:dyDescent="0.3">
      <c r="A27" t="s">
        <v>36</v>
      </c>
      <c r="B27" s="13" t="s">
        <v>144</v>
      </c>
      <c r="C27" s="4">
        <v>1820</v>
      </c>
      <c r="D27" s="4">
        <v>3490</v>
      </c>
      <c r="E27" s="1">
        <v>0.48</v>
      </c>
      <c r="F27" s="1" t="str">
        <f t="shared" si="1"/>
        <v>High Discount</v>
      </c>
      <c r="G27" s="4">
        <f t="shared" si="0"/>
        <v>1670</v>
      </c>
      <c r="H27" s="8">
        <v>9</v>
      </c>
      <c r="I27" s="7">
        <v>4.3</v>
      </c>
      <c r="J27" t="str">
        <f t="shared" si="2"/>
        <v>Good</v>
      </c>
    </row>
    <row r="28" spans="1:10" x14ac:dyDescent="0.3">
      <c r="A28" t="s">
        <v>34</v>
      </c>
      <c r="B28" s="13" t="s">
        <v>145</v>
      </c>
      <c r="C28" s="4">
        <v>185</v>
      </c>
      <c r="D28" s="4">
        <v>382</v>
      </c>
      <c r="E28" s="1">
        <v>0.52</v>
      </c>
      <c r="F28" s="1" t="str">
        <f t="shared" si="1"/>
        <v>High Discount</v>
      </c>
      <c r="G28" s="4">
        <f t="shared" si="0"/>
        <v>197</v>
      </c>
      <c r="H28" s="8">
        <v>9</v>
      </c>
      <c r="I28" s="7">
        <v>4.3</v>
      </c>
      <c r="J28" t="str">
        <f t="shared" si="2"/>
        <v>Good</v>
      </c>
    </row>
    <row r="29" spans="1:10" x14ac:dyDescent="0.3">
      <c r="A29" t="s">
        <v>7</v>
      </c>
      <c r="B29" s="13" t="s">
        <v>145</v>
      </c>
      <c r="C29" s="4">
        <v>1580</v>
      </c>
      <c r="D29" s="4">
        <v>2499</v>
      </c>
      <c r="E29" s="1">
        <v>0.37</v>
      </c>
      <c r="F29" s="1" t="str">
        <f t="shared" si="1"/>
        <v>Medium Discount</v>
      </c>
      <c r="G29" s="4">
        <f t="shared" si="0"/>
        <v>919</v>
      </c>
      <c r="H29" s="8">
        <v>7</v>
      </c>
      <c r="I29" s="7">
        <v>4.7</v>
      </c>
      <c r="J29" t="str">
        <f t="shared" si="2"/>
        <v>Excellent</v>
      </c>
    </row>
    <row r="30" spans="1:10" x14ac:dyDescent="0.3">
      <c r="A30" t="s">
        <v>76</v>
      </c>
      <c r="B30" s="13" t="s">
        <v>135</v>
      </c>
      <c r="C30" s="4">
        <v>1570</v>
      </c>
      <c r="D30" s="4">
        <v>2988</v>
      </c>
      <c r="E30" s="1">
        <v>0.47</v>
      </c>
      <c r="F30" s="1" t="str">
        <f t="shared" si="1"/>
        <v>High Discount</v>
      </c>
      <c r="G30" s="4">
        <f t="shared" si="0"/>
        <v>1418</v>
      </c>
      <c r="H30" s="8">
        <v>7</v>
      </c>
      <c r="I30" s="7">
        <v>2.1</v>
      </c>
      <c r="J30" t="str">
        <f t="shared" si="2"/>
        <v>Poor</v>
      </c>
    </row>
    <row r="31" spans="1:10" x14ac:dyDescent="0.3">
      <c r="A31" t="s">
        <v>69</v>
      </c>
      <c r="B31" s="13" t="s">
        <v>135</v>
      </c>
      <c r="C31" s="4">
        <v>1000</v>
      </c>
      <c r="D31" s="4">
        <v>2000</v>
      </c>
      <c r="E31" s="1">
        <v>0.5</v>
      </c>
      <c r="F31" s="1" t="str">
        <f t="shared" si="1"/>
        <v>High Discount</v>
      </c>
      <c r="G31" s="4">
        <f t="shared" si="0"/>
        <v>1000</v>
      </c>
      <c r="H31" s="8">
        <v>7</v>
      </c>
      <c r="I31" s="7">
        <v>2.2999999999999998</v>
      </c>
      <c r="J31" t="str">
        <f t="shared" si="2"/>
        <v>Poor</v>
      </c>
    </row>
    <row r="32" spans="1:10" x14ac:dyDescent="0.3">
      <c r="A32" t="s">
        <v>28</v>
      </c>
      <c r="B32" s="13" t="s">
        <v>141</v>
      </c>
      <c r="C32" s="4">
        <v>2048</v>
      </c>
      <c r="D32" s="4">
        <v>4500</v>
      </c>
      <c r="E32" s="1">
        <v>0.54</v>
      </c>
      <c r="F32" s="1" t="str">
        <f t="shared" si="1"/>
        <v>High Discount</v>
      </c>
      <c r="G32" s="4">
        <f t="shared" si="0"/>
        <v>2452</v>
      </c>
      <c r="H32" s="8">
        <v>7</v>
      </c>
      <c r="I32" s="7">
        <v>4.3</v>
      </c>
      <c r="J32" t="str">
        <f t="shared" si="2"/>
        <v>Good</v>
      </c>
    </row>
    <row r="33" spans="1:10" x14ac:dyDescent="0.3">
      <c r="A33" t="s">
        <v>62</v>
      </c>
      <c r="B33" s="13" t="s">
        <v>143</v>
      </c>
      <c r="C33" s="4">
        <v>2170</v>
      </c>
      <c r="D33" s="4">
        <v>2500</v>
      </c>
      <c r="E33" s="1">
        <v>0.13</v>
      </c>
      <c r="F33" s="1" t="str">
        <f t="shared" si="1"/>
        <v>Low Discount</v>
      </c>
      <c r="G33" s="4">
        <f t="shared" si="0"/>
        <v>330</v>
      </c>
      <c r="H33" s="8">
        <v>6</v>
      </c>
      <c r="I33" s="7">
        <v>2.5</v>
      </c>
      <c r="J33" t="str">
        <f t="shared" si="2"/>
        <v>Poor</v>
      </c>
    </row>
    <row r="34" spans="1:10" x14ac:dyDescent="0.3">
      <c r="A34" t="s">
        <v>26</v>
      </c>
      <c r="B34" s="13" t="s">
        <v>142</v>
      </c>
      <c r="C34" s="4">
        <v>880</v>
      </c>
      <c r="D34" s="4">
        <v>1350</v>
      </c>
      <c r="E34" s="1">
        <v>0.35</v>
      </c>
      <c r="F34" s="1" t="str">
        <f t="shared" si="1"/>
        <v>Medium Discount</v>
      </c>
      <c r="G34" s="4">
        <f t="shared" si="0"/>
        <v>470</v>
      </c>
      <c r="H34" s="8">
        <v>6</v>
      </c>
      <c r="I34" s="7">
        <v>4</v>
      </c>
      <c r="J34" t="str">
        <f t="shared" si="2"/>
        <v>Average</v>
      </c>
    </row>
    <row r="35" spans="1:10" x14ac:dyDescent="0.3">
      <c r="A35" t="s">
        <v>17</v>
      </c>
      <c r="B35" s="13" t="s">
        <v>145</v>
      </c>
      <c r="C35" s="4">
        <v>501</v>
      </c>
      <c r="D35" s="4">
        <v>860</v>
      </c>
      <c r="E35" s="1">
        <v>0.42</v>
      </c>
      <c r="F35" s="1" t="str">
        <f t="shared" si="1"/>
        <v>High Discount</v>
      </c>
      <c r="G35" s="4">
        <f t="shared" si="0"/>
        <v>359</v>
      </c>
      <c r="H35" s="8">
        <v>6</v>
      </c>
      <c r="I35" s="7">
        <v>4.5</v>
      </c>
      <c r="J35" t="str">
        <f t="shared" si="2"/>
        <v>Excellent</v>
      </c>
    </row>
    <row r="36" spans="1:10" x14ac:dyDescent="0.3">
      <c r="A36" t="s">
        <v>73</v>
      </c>
      <c r="B36" s="13" t="s">
        <v>142</v>
      </c>
      <c r="C36" s="4">
        <v>345</v>
      </c>
      <c r="D36" s="4">
        <v>602</v>
      </c>
      <c r="E36" s="1">
        <v>0.43</v>
      </c>
      <c r="F36" s="1" t="str">
        <f t="shared" si="1"/>
        <v>High Discount</v>
      </c>
      <c r="G36" s="4">
        <f t="shared" si="0"/>
        <v>257</v>
      </c>
      <c r="H36" s="8">
        <v>6</v>
      </c>
      <c r="I36" s="7">
        <v>2.2999999999999998</v>
      </c>
      <c r="J36" t="str">
        <f t="shared" si="2"/>
        <v>Poor</v>
      </c>
    </row>
    <row r="37" spans="1:10" x14ac:dyDescent="0.3">
      <c r="A37" t="s">
        <v>68</v>
      </c>
      <c r="B37" s="13" t="s">
        <v>142</v>
      </c>
      <c r="C37" s="4">
        <v>990</v>
      </c>
      <c r="D37" s="4">
        <v>1814</v>
      </c>
      <c r="E37" s="1">
        <v>0.45</v>
      </c>
      <c r="F37" s="1" t="str">
        <f t="shared" si="1"/>
        <v>High Discount</v>
      </c>
      <c r="G37" s="4">
        <f t="shared" si="0"/>
        <v>824</v>
      </c>
      <c r="H37" s="8">
        <v>6</v>
      </c>
      <c r="I37" s="7">
        <v>2.2000000000000002</v>
      </c>
      <c r="J37" t="str">
        <f t="shared" si="2"/>
        <v>Poor</v>
      </c>
    </row>
    <row r="38" spans="1:10" x14ac:dyDescent="0.3">
      <c r="A38" t="s">
        <v>75</v>
      </c>
      <c r="B38" s="13" t="s">
        <v>146</v>
      </c>
      <c r="C38" s="4">
        <v>968</v>
      </c>
      <c r="D38" s="4">
        <v>1814</v>
      </c>
      <c r="E38" s="1">
        <v>0.47</v>
      </c>
      <c r="F38" s="1" t="str">
        <f t="shared" si="1"/>
        <v>High Discount</v>
      </c>
      <c r="G38" s="4">
        <f t="shared" si="0"/>
        <v>846</v>
      </c>
      <c r="H38" s="8">
        <v>6</v>
      </c>
      <c r="I38" s="7">
        <v>2.2000000000000002</v>
      </c>
      <c r="J38" t="str">
        <f t="shared" si="2"/>
        <v>Poor</v>
      </c>
    </row>
    <row r="39" spans="1:10" x14ac:dyDescent="0.3">
      <c r="A39" t="s">
        <v>22</v>
      </c>
      <c r="B39" s="13" t="s">
        <v>142</v>
      </c>
      <c r="C39" s="4">
        <v>2999</v>
      </c>
      <c r="D39" s="4">
        <v>3699</v>
      </c>
      <c r="E39" s="1">
        <v>0.19</v>
      </c>
      <c r="F39" s="1" t="str">
        <f t="shared" si="1"/>
        <v>Low Discount</v>
      </c>
      <c r="G39" s="4">
        <f t="shared" si="0"/>
        <v>700</v>
      </c>
      <c r="H39" s="8">
        <v>5</v>
      </c>
      <c r="I39" s="7">
        <v>4.5999999999999996</v>
      </c>
      <c r="J39" t="str">
        <f t="shared" si="2"/>
        <v>Excellent</v>
      </c>
    </row>
    <row r="40" spans="1:10" x14ac:dyDescent="0.3">
      <c r="A40" t="s">
        <v>8</v>
      </c>
      <c r="B40" s="13" t="s">
        <v>135</v>
      </c>
      <c r="C40" s="4">
        <v>1740</v>
      </c>
      <c r="D40" s="4">
        <v>2356</v>
      </c>
      <c r="E40" s="1">
        <v>0.26</v>
      </c>
      <c r="F40" s="1" t="str">
        <f t="shared" si="1"/>
        <v>Medium Discount</v>
      </c>
      <c r="G40" s="4">
        <f t="shared" si="0"/>
        <v>616</v>
      </c>
      <c r="H40" s="8">
        <v>5</v>
      </c>
      <c r="I40" s="7">
        <v>4.8</v>
      </c>
      <c r="J40" t="str">
        <f t="shared" si="2"/>
        <v>Excellent</v>
      </c>
    </row>
    <row r="41" spans="1:10" x14ac:dyDescent="0.3">
      <c r="A41" t="s">
        <v>72</v>
      </c>
      <c r="B41" s="13" t="s">
        <v>141</v>
      </c>
      <c r="C41" s="4">
        <v>2300</v>
      </c>
      <c r="D41" s="4">
        <v>3240</v>
      </c>
      <c r="E41" s="1">
        <v>0.28999999999999998</v>
      </c>
      <c r="F41" s="1" t="str">
        <f t="shared" si="1"/>
        <v>Medium Discount</v>
      </c>
      <c r="G41" s="4">
        <f t="shared" si="0"/>
        <v>940</v>
      </c>
      <c r="H41" s="8">
        <v>5</v>
      </c>
      <c r="I41" s="7">
        <v>3</v>
      </c>
      <c r="J41" t="str">
        <f t="shared" si="2"/>
        <v>Average</v>
      </c>
    </row>
    <row r="42" spans="1:10" x14ac:dyDescent="0.3">
      <c r="A42" t="s">
        <v>70</v>
      </c>
      <c r="B42" s="13" t="s">
        <v>137</v>
      </c>
      <c r="C42" s="4">
        <v>3750</v>
      </c>
      <c r="D42" s="4">
        <v>6143</v>
      </c>
      <c r="E42" s="1">
        <v>0.39</v>
      </c>
      <c r="F42" s="1" t="str">
        <f t="shared" si="1"/>
        <v>Medium Discount</v>
      </c>
      <c r="G42" s="4">
        <f t="shared" si="0"/>
        <v>2393</v>
      </c>
      <c r="H42" s="8">
        <v>5</v>
      </c>
      <c r="I42" s="7">
        <v>3</v>
      </c>
      <c r="J42" t="str">
        <f t="shared" si="2"/>
        <v>Average</v>
      </c>
    </row>
    <row r="43" spans="1:10" x14ac:dyDescent="0.3">
      <c r="A43" t="s">
        <v>74</v>
      </c>
      <c r="B43" s="13" t="s">
        <v>138</v>
      </c>
      <c r="C43" s="4">
        <v>509</v>
      </c>
      <c r="D43" s="4">
        <v>899</v>
      </c>
      <c r="E43" s="1">
        <v>0.43</v>
      </c>
      <c r="F43" s="1" t="str">
        <f t="shared" si="1"/>
        <v>High Discount</v>
      </c>
      <c r="G43" s="4">
        <f t="shared" si="0"/>
        <v>390</v>
      </c>
      <c r="H43" s="8">
        <v>5</v>
      </c>
      <c r="I43" s="7">
        <v>3</v>
      </c>
      <c r="J43" t="str">
        <f t="shared" si="2"/>
        <v>Average</v>
      </c>
    </row>
    <row r="44" spans="1:10" x14ac:dyDescent="0.3">
      <c r="A44" t="s">
        <v>13</v>
      </c>
      <c r="B44" s="13" t="s">
        <v>137</v>
      </c>
      <c r="C44" s="4">
        <v>1600</v>
      </c>
      <c r="D44" s="4">
        <v>2929</v>
      </c>
      <c r="E44" s="1">
        <v>0.45</v>
      </c>
      <c r="F44" s="1" t="str">
        <f t="shared" si="1"/>
        <v>High Discount</v>
      </c>
      <c r="G44" s="4">
        <f t="shared" si="0"/>
        <v>1329</v>
      </c>
      <c r="H44" s="8">
        <v>5</v>
      </c>
      <c r="I44" s="7">
        <v>3.8</v>
      </c>
      <c r="J44" t="str">
        <f t="shared" si="2"/>
        <v>Average</v>
      </c>
    </row>
    <row r="45" spans="1:10" x14ac:dyDescent="0.3">
      <c r="A45" t="s">
        <v>12</v>
      </c>
      <c r="B45" s="13" t="s">
        <v>141</v>
      </c>
      <c r="C45" s="4">
        <v>1274</v>
      </c>
      <c r="D45" s="4">
        <v>2800</v>
      </c>
      <c r="E45" s="1">
        <v>0.55000000000000004</v>
      </c>
      <c r="F45" s="1" t="str">
        <f t="shared" si="1"/>
        <v>High Discount</v>
      </c>
      <c r="G45" s="4">
        <f t="shared" si="0"/>
        <v>1526</v>
      </c>
      <c r="H45" s="8">
        <v>5</v>
      </c>
      <c r="I45" s="7">
        <v>4.8</v>
      </c>
      <c r="J45" t="str">
        <f t="shared" si="2"/>
        <v>Excellent</v>
      </c>
    </row>
    <row r="46" spans="1:10" x14ac:dyDescent="0.3">
      <c r="A46" t="s">
        <v>21</v>
      </c>
      <c r="B46" s="13" t="s">
        <v>137</v>
      </c>
      <c r="C46" s="4">
        <v>2025</v>
      </c>
      <c r="D46" s="4">
        <v>3971</v>
      </c>
      <c r="E46" s="1">
        <v>0.49</v>
      </c>
      <c r="F46" s="1" t="str">
        <f t="shared" si="1"/>
        <v>High Discount</v>
      </c>
      <c r="G46" s="4">
        <f t="shared" si="0"/>
        <v>1946</v>
      </c>
      <c r="H46" s="8">
        <v>3</v>
      </c>
      <c r="I46" s="7">
        <v>5</v>
      </c>
      <c r="J46" t="str">
        <f t="shared" si="2"/>
        <v>Excellent</v>
      </c>
    </row>
    <row r="47" spans="1:10" x14ac:dyDescent="0.3">
      <c r="A47" t="s">
        <v>11</v>
      </c>
      <c r="B47" s="13" t="s">
        <v>135</v>
      </c>
      <c r="C47" s="4">
        <v>988</v>
      </c>
      <c r="D47" s="4">
        <v>1580</v>
      </c>
      <c r="E47" s="1">
        <v>0.37</v>
      </c>
      <c r="F47" s="1" t="str">
        <f t="shared" si="1"/>
        <v>Medium Discount</v>
      </c>
      <c r="G47" s="4">
        <f t="shared" si="0"/>
        <v>592</v>
      </c>
      <c r="H47" s="8">
        <v>2</v>
      </c>
      <c r="I47" s="7">
        <v>4</v>
      </c>
      <c r="J47" t="str">
        <f t="shared" si="2"/>
        <v>Average</v>
      </c>
    </row>
    <row r="48" spans="1:10" x14ac:dyDescent="0.3">
      <c r="A48" t="s">
        <v>4</v>
      </c>
      <c r="B48" s="13" t="s">
        <v>137</v>
      </c>
      <c r="C48" s="4">
        <v>950</v>
      </c>
      <c r="D48" s="4">
        <v>1525</v>
      </c>
      <c r="E48" s="1">
        <v>0.38</v>
      </c>
      <c r="F48" s="1" t="str">
        <f t="shared" si="1"/>
        <v>Medium Discount</v>
      </c>
      <c r="G48" s="4">
        <f t="shared" si="0"/>
        <v>575</v>
      </c>
      <c r="H48" s="8">
        <v>2</v>
      </c>
      <c r="I48" s="7">
        <v>4.5</v>
      </c>
      <c r="J48" t="str">
        <f t="shared" si="2"/>
        <v>Excellent</v>
      </c>
    </row>
    <row r="49" spans="1:10" x14ac:dyDescent="0.3">
      <c r="A49" t="s">
        <v>42</v>
      </c>
      <c r="B49" s="13" t="s">
        <v>142</v>
      </c>
      <c r="C49" s="4">
        <v>1800</v>
      </c>
      <c r="D49" s="4">
        <v>2700</v>
      </c>
      <c r="E49" s="1">
        <v>0.38</v>
      </c>
      <c r="F49" s="1" t="str">
        <f t="shared" si="1"/>
        <v>Medium Discount</v>
      </c>
      <c r="G49" s="4">
        <f>D49-C49</f>
        <v>900</v>
      </c>
      <c r="H49" s="8">
        <v>2</v>
      </c>
      <c r="I49" s="7">
        <v>4.5</v>
      </c>
      <c r="J49" t="str">
        <f t="shared" si="2"/>
        <v>Excellent</v>
      </c>
    </row>
    <row r="50" spans="1:10" x14ac:dyDescent="0.3">
      <c r="A50" t="s">
        <v>20</v>
      </c>
      <c r="B50" s="13" t="s">
        <v>142</v>
      </c>
      <c r="C50" s="4">
        <v>195</v>
      </c>
      <c r="D50" s="4">
        <v>360</v>
      </c>
      <c r="E50" s="1">
        <v>0.46</v>
      </c>
      <c r="F50" s="1" t="str">
        <f t="shared" si="1"/>
        <v>High Discount</v>
      </c>
      <c r="G50" s="4">
        <f t="shared" ref="G50:G113" si="3">D50-C50</f>
        <v>165</v>
      </c>
      <c r="H50" s="8">
        <v>2</v>
      </c>
      <c r="I50" s="7">
        <v>5</v>
      </c>
      <c r="J50" t="str">
        <f t="shared" si="2"/>
        <v>Excellent</v>
      </c>
    </row>
    <row r="51" spans="1:10" x14ac:dyDescent="0.3">
      <c r="A51" t="s">
        <v>19</v>
      </c>
      <c r="B51" s="13" t="s">
        <v>143</v>
      </c>
      <c r="C51" s="4">
        <v>332</v>
      </c>
      <c r="D51" s="4">
        <v>684</v>
      </c>
      <c r="E51" s="1">
        <v>0.51</v>
      </c>
      <c r="F51" s="1" t="str">
        <f t="shared" si="1"/>
        <v>High Discount</v>
      </c>
      <c r="G51" s="4">
        <f t="shared" si="3"/>
        <v>352</v>
      </c>
      <c r="H51" s="8">
        <v>2</v>
      </c>
      <c r="I51" s="7">
        <v>5</v>
      </c>
      <c r="J51" t="str">
        <f t="shared" si="2"/>
        <v>Excellent</v>
      </c>
    </row>
    <row r="52" spans="1:10" x14ac:dyDescent="0.3">
      <c r="A52" t="s">
        <v>40</v>
      </c>
      <c r="B52" s="13" t="s">
        <v>142</v>
      </c>
      <c r="C52" s="4">
        <v>171</v>
      </c>
      <c r="D52" s="4">
        <v>360</v>
      </c>
      <c r="E52" s="1">
        <v>0.53</v>
      </c>
      <c r="F52" s="1" t="str">
        <f t="shared" si="1"/>
        <v>High Discount</v>
      </c>
      <c r="G52" s="4">
        <f t="shared" si="3"/>
        <v>189</v>
      </c>
      <c r="H52" s="8">
        <v>2</v>
      </c>
      <c r="I52" s="7">
        <v>5</v>
      </c>
      <c r="J52" t="str">
        <f t="shared" si="2"/>
        <v>Excellent</v>
      </c>
    </row>
    <row r="53" spans="1:10" x14ac:dyDescent="0.3">
      <c r="A53" t="s">
        <v>102</v>
      </c>
      <c r="B53" s="13" t="s">
        <v>135</v>
      </c>
      <c r="C53" s="4">
        <v>3640</v>
      </c>
      <c r="D53" s="4">
        <v>4588</v>
      </c>
      <c r="E53" s="1">
        <v>0.21</v>
      </c>
      <c r="F53" s="1" t="str">
        <f t="shared" si="1"/>
        <v>Medium Discount</v>
      </c>
      <c r="G53" s="4">
        <f t="shared" si="3"/>
        <v>948</v>
      </c>
      <c r="H53" s="8">
        <v>1</v>
      </c>
      <c r="I53" s="7">
        <v>5</v>
      </c>
      <c r="J53" t="str">
        <f t="shared" si="2"/>
        <v>Excellent</v>
      </c>
    </row>
    <row r="54" spans="1:10" x14ac:dyDescent="0.3">
      <c r="A54" t="s">
        <v>39</v>
      </c>
      <c r="B54" s="13" t="s">
        <v>144</v>
      </c>
      <c r="C54" s="4">
        <v>1620</v>
      </c>
      <c r="D54" s="4">
        <v>2690</v>
      </c>
      <c r="E54" s="1">
        <v>0.4</v>
      </c>
      <c r="F54" s="1" t="str">
        <f t="shared" si="1"/>
        <v>Medium Discount</v>
      </c>
      <c r="G54" s="4">
        <f t="shared" si="3"/>
        <v>1070</v>
      </c>
      <c r="H54" s="8">
        <v>1</v>
      </c>
      <c r="I54" s="7">
        <v>5</v>
      </c>
      <c r="J54" t="str">
        <f t="shared" si="2"/>
        <v>Excellent</v>
      </c>
    </row>
    <row r="55" spans="1:10" x14ac:dyDescent="0.3">
      <c r="A55" t="s">
        <v>81</v>
      </c>
      <c r="B55" s="13" t="s">
        <v>145</v>
      </c>
      <c r="C55" s="4">
        <v>1189</v>
      </c>
      <c r="D55" s="4">
        <v>2199</v>
      </c>
      <c r="E55" s="1">
        <v>0.46</v>
      </c>
      <c r="F55" s="1" t="str">
        <f t="shared" si="1"/>
        <v>High Discount</v>
      </c>
      <c r="G55" s="4">
        <f t="shared" si="3"/>
        <v>1010</v>
      </c>
      <c r="H55" s="8">
        <v>1</v>
      </c>
      <c r="I55" s="7">
        <v>3</v>
      </c>
      <c r="J55" t="str">
        <f t="shared" si="2"/>
        <v>Average</v>
      </c>
    </row>
    <row r="56" spans="1:10" x14ac:dyDescent="0.3">
      <c r="A56" t="s">
        <v>82</v>
      </c>
      <c r="B56" s="13" t="s">
        <v>141</v>
      </c>
      <c r="C56" s="4">
        <v>979</v>
      </c>
      <c r="D56" s="4">
        <v>1920</v>
      </c>
      <c r="E56" s="1">
        <v>0.49</v>
      </c>
      <c r="F56" s="1" t="str">
        <f t="shared" si="1"/>
        <v>High Discount</v>
      </c>
      <c r="G56" s="4">
        <f t="shared" si="3"/>
        <v>941</v>
      </c>
      <c r="H56" s="8">
        <v>1</v>
      </c>
      <c r="I56" s="7">
        <v>5</v>
      </c>
      <c r="J56" t="str">
        <f t="shared" si="2"/>
        <v>Excellent</v>
      </c>
    </row>
    <row r="57" spans="1:10" x14ac:dyDescent="0.3">
      <c r="A57" t="s">
        <v>85</v>
      </c>
      <c r="B57" s="13" t="s">
        <v>143</v>
      </c>
      <c r="C57" s="4">
        <v>330</v>
      </c>
      <c r="D57" s="4">
        <v>647</v>
      </c>
      <c r="E57" s="1">
        <v>0.49</v>
      </c>
      <c r="F57" s="1" t="str">
        <f t="shared" si="1"/>
        <v>High Discount</v>
      </c>
      <c r="G57" s="4">
        <f t="shared" si="3"/>
        <v>317</v>
      </c>
      <c r="H57" s="8">
        <v>1</v>
      </c>
      <c r="I57" s="7">
        <v>4</v>
      </c>
      <c r="J57" t="str">
        <f t="shared" si="2"/>
        <v>Average</v>
      </c>
    </row>
    <row r="58" spans="1:10" ht="27.6" x14ac:dyDescent="0.3">
      <c r="A58" t="s">
        <v>111</v>
      </c>
      <c r="B58" s="13" t="s">
        <v>147</v>
      </c>
      <c r="C58" s="4">
        <v>450</v>
      </c>
      <c r="D58" s="4">
        <v>900</v>
      </c>
      <c r="E58" s="1">
        <v>0.5</v>
      </c>
      <c r="F58" s="1" t="str">
        <f t="shared" si="1"/>
        <v>High Discount</v>
      </c>
      <c r="G58" s="4">
        <f t="shared" si="3"/>
        <v>450</v>
      </c>
      <c r="H58" s="8">
        <v>1</v>
      </c>
      <c r="I58" s="7">
        <v>2</v>
      </c>
      <c r="J58" t="str">
        <f t="shared" si="2"/>
        <v>Poor</v>
      </c>
    </row>
    <row r="59" spans="1:10" x14ac:dyDescent="0.3">
      <c r="A59" t="s">
        <v>104</v>
      </c>
      <c r="B59" s="13" t="s">
        <v>141</v>
      </c>
      <c r="C59" s="4">
        <v>1875</v>
      </c>
      <c r="D59" s="4">
        <v>1899</v>
      </c>
      <c r="E59" s="1">
        <v>0.01</v>
      </c>
      <c r="F59" s="1" t="str">
        <f t="shared" si="1"/>
        <v>Low Discount</v>
      </c>
      <c r="G59" s="4">
        <f t="shared" si="3"/>
        <v>24</v>
      </c>
      <c r="I59" s="7"/>
    </row>
    <row r="60" spans="1:10" x14ac:dyDescent="0.3">
      <c r="A60" t="s">
        <v>47</v>
      </c>
      <c r="B60" s="13" t="s">
        <v>138</v>
      </c>
      <c r="C60" s="4">
        <v>2132</v>
      </c>
      <c r="D60" s="4">
        <v>2169</v>
      </c>
      <c r="E60" s="1">
        <v>0.02</v>
      </c>
      <c r="F60" s="1" t="str">
        <f t="shared" si="1"/>
        <v>Low Discount</v>
      </c>
      <c r="G60" s="4">
        <f t="shared" si="3"/>
        <v>37</v>
      </c>
      <c r="I60" s="7"/>
    </row>
    <row r="61" spans="1:10" x14ac:dyDescent="0.3">
      <c r="A61" t="s">
        <v>54</v>
      </c>
      <c r="B61" s="13" t="s">
        <v>148</v>
      </c>
      <c r="C61" s="4">
        <v>1660</v>
      </c>
      <c r="D61" s="4">
        <v>1699</v>
      </c>
      <c r="E61" s="1">
        <v>0.02</v>
      </c>
      <c r="F61" s="1" t="str">
        <f t="shared" si="1"/>
        <v>Low Discount</v>
      </c>
      <c r="G61" s="4">
        <f t="shared" si="3"/>
        <v>39</v>
      </c>
      <c r="I61" s="7"/>
    </row>
    <row r="62" spans="1:10" x14ac:dyDescent="0.3">
      <c r="A62" t="s">
        <v>84</v>
      </c>
      <c r="B62" s="13" t="s">
        <v>149</v>
      </c>
      <c r="C62" s="4">
        <v>1666</v>
      </c>
      <c r="D62" s="4">
        <v>1699</v>
      </c>
      <c r="E62" s="1">
        <v>0.02</v>
      </c>
      <c r="F62" s="1" t="str">
        <f t="shared" si="1"/>
        <v>Low Discount</v>
      </c>
      <c r="G62" s="4">
        <f t="shared" si="3"/>
        <v>33</v>
      </c>
      <c r="I62" s="7"/>
    </row>
    <row r="63" spans="1:10" x14ac:dyDescent="0.3">
      <c r="A63" t="s">
        <v>97</v>
      </c>
      <c r="B63" s="13" t="s">
        <v>143</v>
      </c>
      <c r="C63" s="4">
        <v>1462</v>
      </c>
      <c r="D63" s="4">
        <v>1499</v>
      </c>
      <c r="E63" s="1">
        <v>0.02</v>
      </c>
      <c r="F63" s="1" t="str">
        <f t="shared" si="1"/>
        <v>Low Discount</v>
      </c>
      <c r="G63" s="4">
        <f t="shared" si="3"/>
        <v>37</v>
      </c>
      <c r="I63" s="7"/>
    </row>
    <row r="64" spans="1:10" ht="27.6" x14ac:dyDescent="0.3">
      <c r="A64" t="s">
        <v>108</v>
      </c>
      <c r="B64" s="13" t="s">
        <v>147</v>
      </c>
      <c r="C64" s="4">
        <v>1658</v>
      </c>
      <c r="D64" s="4">
        <v>1699</v>
      </c>
      <c r="E64" s="1">
        <v>0.02</v>
      </c>
      <c r="F64" s="1" t="str">
        <f t="shared" si="1"/>
        <v>Low Discount</v>
      </c>
      <c r="G64" s="4">
        <f t="shared" si="3"/>
        <v>41</v>
      </c>
      <c r="I64" s="7"/>
    </row>
    <row r="65" spans="1:9" x14ac:dyDescent="0.3">
      <c r="A65" t="s">
        <v>109</v>
      </c>
      <c r="B65" s="13" t="s">
        <v>143</v>
      </c>
      <c r="C65" s="4">
        <v>1768</v>
      </c>
      <c r="D65" s="4">
        <v>1799</v>
      </c>
      <c r="E65" s="1">
        <v>0.02</v>
      </c>
      <c r="F65" s="1" t="str">
        <f t="shared" si="1"/>
        <v>Low Discount</v>
      </c>
      <c r="G65" s="4">
        <f t="shared" si="3"/>
        <v>31</v>
      </c>
      <c r="I65" s="7"/>
    </row>
    <row r="66" spans="1:9" x14ac:dyDescent="0.3">
      <c r="A66" t="s">
        <v>56</v>
      </c>
      <c r="B66" s="13" t="s">
        <v>143</v>
      </c>
      <c r="C66" s="4">
        <v>1459</v>
      </c>
      <c r="D66" s="4">
        <v>1499</v>
      </c>
      <c r="E66" s="1">
        <v>0.03</v>
      </c>
      <c r="F66" s="1" t="str">
        <f t="shared" si="1"/>
        <v>Low Discount</v>
      </c>
      <c r="G66" s="4">
        <f t="shared" si="3"/>
        <v>40</v>
      </c>
      <c r="I66" s="7"/>
    </row>
    <row r="67" spans="1:9" x14ac:dyDescent="0.3">
      <c r="A67" t="s">
        <v>79</v>
      </c>
      <c r="B67" s="13" t="s">
        <v>145</v>
      </c>
      <c r="C67" s="4">
        <v>1732</v>
      </c>
      <c r="D67" s="4">
        <v>1799</v>
      </c>
      <c r="E67" s="1">
        <v>0.04</v>
      </c>
      <c r="F67" s="1" t="str">
        <f t="shared" ref="F67:F113" si="4">IF(E67&lt;20%, "Low Discount", IF(E67&lt;=40%, "Medium Discount", "High Discount"))</f>
        <v>Low Discount</v>
      </c>
      <c r="G67" s="4">
        <f t="shared" si="3"/>
        <v>67</v>
      </c>
      <c r="I67" s="7"/>
    </row>
    <row r="68" spans="1:9" x14ac:dyDescent="0.3">
      <c r="A68" t="s">
        <v>99</v>
      </c>
      <c r="B68" s="13" t="s">
        <v>142</v>
      </c>
      <c r="C68" s="4">
        <v>3546</v>
      </c>
      <c r="D68" s="4">
        <v>3699</v>
      </c>
      <c r="E68" s="1">
        <v>0.04</v>
      </c>
      <c r="F68" s="1" t="str">
        <f t="shared" si="4"/>
        <v>Low Discount</v>
      </c>
      <c r="G68" s="4">
        <f t="shared" si="3"/>
        <v>153</v>
      </c>
      <c r="I68" s="7"/>
    </row>
    <row r="69" spans="1:9" x14ac:dyDescent="0.3">
      <c r="A69" t="s">
        <v>96</v>
      </c>
      <c r="B69" s="13" t="s">
        <v>138</v>
      </c>
      <c r="C69" s="4">
        <v>1526</v>
      </c>
      <c r="D69" s="4">
        <v>1660</v>
      </c>
      <c r="E69" s="1">
        <v>0.08</v>
      </c>
      <c r="F69" s="1" t="str">
        <f t="shared" si="4"/>
        <v>Low Discount</v>
      </c>
      <c r="G69" s="4">
        <f t="shared" si="3"/>
        <v>134</v>
      </c>
      <c r="I69" s="7"/>
    </row>
    <row r="70" spans="1:9" x14ac:dyDescent="0.3">
      <c r="A70" t="s">
        <v>88</v>
      </c>
      <c r="B70" s="13" t="s">
        <v>146</v>
      </c>
      <c r="C70" s="4">
        <v>799</v>
      </c>
      <c r="D70" s="4">
        <v>900</v>
      </c>
      <c r="E70" s="1">
        <v>0.11</v>
      </c>
      <c r="F70" s="1" t="str">
        <f t="shared" si="4"/>
        <v>Low Discount</v>
      </c>
      <c r="G70" s="4">
        <f t="shared" si="3"/>
        <v>101</v>
      </c>
      <c r="I70" s="7"/>
    </row>
    <row r="71" spans="1:9" x14ac:dyDescent="0.3">
      <c r="A71" t="s">
        <v>86</v>
      </c>
      <c r="B71" s="13" t="s">
        <v>145</v>
      </c>
      <c r="C71" s="4">
        <v>1466</v>
      </c>
      <c r="D71" s="4">
        <v>1699</v>
      </c>
      <c r="E71" s="1">
        <v>0.14000000000000001</v>
      </c>
      <c r="F71" s="1" t="str">
        <f t="shared" si="4"/>
        <v>Low Discount</v>
      </c>
      <c r="G71" s="4">
        <f t="shared" si="3"/>
        <v>233</v>
      </c>
      <c r="I71" s="7"/>
    </row>
    <row r="72" spans="1:9" x14ac:dyDescent="0.3">
      <c r="A72" t="s">
        <v>89</v>
      </c>
      <c r="B72" s="13" t="s">
        <v>138</v>
      </c>
      <c r="C72" s="4">
        <v>1468</v>
      </c>
      <c r="D72" s="4">
        <v>1699</v>
      </c>
      <c r="E72" s="1">
        <v>0.14000000000000001</v>
      </c>
      <c r="F72" s="1" t="str">
        <f t="shared" si="4"/>
        <v>Low Discount</v>
      </c>
      <c r="G72" s="4">
        <f t="shared" si="3"/>
        <v>231</v>
      </c>
      <c r="I72" s="7"/>
    </row>
    <row r="73" spans="1:9" x14ac:dyDescent="0.3">
      <c r="A73" t="s">
        <v>55</v>
      </c>
      <c r="B73" s="13" t="s">
        <v>150</v>
      </c>
      <c r="C73" s="4">
        <v>299</v>
      </c>
      <c r="D73" s="4">
        <v>384</v>
      </c>
      <c r="E73" s="1">
        <v>0.22</v>
      </c>
      <c r="F73" s="1" t="str">
        <f t="shared" si="4"/>
        <v>Medium Discount</v>
      </c>
      <c r="G73" s="4">
        <f t="shared" si="3"/>
        <v>85</v>
      </c>
      <c r="I73" s="7"/>
    </row>
    <row r="74" spans="1:9" x14ac:dyDescent="0.3">
      <c r="A74" t="s">
        <v>105</v>
      </c>
      <c r="B74" s="13" t="s">
        <v>143</v>
      </c>
      <c r="C74" s="4">
        <v>198</v>
      </c>
      <c r="D74" s="4">
        <v>260</v>
      </c>
      <c r="E74" s="1">
        <v>0.24</v>
      </c>
      <c r="F74" s="1" t="str">
        <f t="shared" si="4"/>
        <v>Medium Discount</v>
      </c>
      <c r="G74" s="4">
        <f t="shared" si="3"/>
        <v>62</v>
      </c>
      <c r="I74" s="7"/>
    </row>
    <row r="75" spans="1:9" x14ac:dyDescent="0.3">
      <c r="A75" t="s">
        <v>61</v>
      </c>
      <c r="B75" s="13" t="s">
        <v>137</v>
      </c>
      <c r="C75" s="4">
        <v>2799</v>
      </c>
      <c r="D75" s="4">
        <v>3810</v>
      </c>
      <c r="E75" s="1">
        <v>0.27</v>
      </c>
      <c r="F75" s="1" t="str">
        <f t="shared" si="4"/>
        <v>Medium Discount</v>
      </c>
      <c r="G75" s="4">
        <f t="shared" si="3"/>
        <v>1011</v>
      </c>
      <c r="I75" s="7"/>
    </row>
    <row r="76" spans="1:9" x14ac:dyDescent="0.3">
      <c r="A76" t="s">
        <v>49</v>
      </c>
      <c r="B76" s="13" t="s">
        <v>137</v>
      </c>
      <c r="C76" s="4">
        <v>1190</v>
      </c>
      <c r="D76" s="4">
        <v>1785</v>
      </c>
      <c r="E76" s="1">
        <v>0.33</v>
      </c>
      <c r="F76" s="1" t="str">
        <f t="shared" si="4"/>
        <v>Medium Discount</v>
      </c>
      <c r="G76" s="4">
        <f t="shared" si="3"/>
        <v>595</v>
      </c>
      <c r="I76" s="7"/>
    </row>
    <row r="77" spans="1:9" x14ac:dyDescent="0.3">
      <c r="A77" t="s">
        <v>106</v>
      </c>
      <c r="B77" s="13" t="s">
        <v>140</v>
      </c>
      <c r="C77" s="4">
        <v>1150</v>
      </c>
      <c r="D77" s="4">
        <v>1737</v>
      </c>
      <c r="E77" s="1">
        <v>0.34</v>
      </c>
      <c r="F77" s="1" t="str">
        <f t="shared" si="4"/>
        <v>Medium Discount</v>
      </c>
      <c r="G77" s="4">
        <f t="shared" si="3"/>
        <v>587</v>
      </c>
      <c r="I77" s="7"/>
    </row>
    <row r="78" spans="1:9" x14ac:dyDescent="0.3">
      <c r="A78" t="s">
        <v>107</v>
      </c>
      <c r="B78" s="13" t="s">
        <v>138</v>
      </c>
      <c r="C78" s="4">
        <v>1190</v>
      </c>
      <c r="D78" s="4">
        <v>1810</v>
      </c>
      <c r="E78" s="1">
        <v>0.34</v>
      </c>
      <c r="F78" s="1" t="str">
        <f t="shared" si="4"/>
        <v>Medium Discount</v>
      </c>
      <c r="G78" s="4">
        <f t="shared" si="3"/>
        <v>620</v>
      </c>
      <c r="I78" s="7"/>
    </row>
    <row r="79" spans="1:9" x14ac:dyDescent="0.3">
      <c r="A79" t="s">
        <v>83</v>
      </c>
      <c r="B79" s="13" t="s">
        <v>140</v>
      </c>
      <c r="C79" s="4">
        <v>1460</v>
      </c>
      <c r="D79" s="4">
        <v>2290</v>
      </c>
      <c r="E79" s="1">
        <v>0.36</v>
      </c>
      <c r="F79" s="1" t="str">
        <f t="shared" si="4"/>
        <v>Medium Discount</v>
      </c>
      <c r="G79" s="4">
        <f t="shared" si="3"/>
        <v>830</v>
      </c>
      <c r="I79" s="7"/>
    </row>
    <row r="80" spans="1:9" x14ac:dyDescent="0.3">
      <c r="A80" t="s">
        <v>43</v>
      </c>
      <c r="B80" s="13" t="s">
        <v>138</v>
      </c>
      <c r="C80" s="4">
        <v>2750</v>
      </c>
      <c r="D80" s="4">
        <v>4471</v>
      </c>
      <c r="E80" s="1">
        <v>0.38</v>
      </c>
      <c r="F80" s="1" t="str">
        <f t="shared" si="4"/>
        <v>Medium Discount</v>
      </c>
      <c r="G80" s="4">
        <f t="shared" si="3"/>
        <v>1721</v>
      </c>
      <c r="I80" s="7"/>
    </row>
    <row r="81" spans="1:9" x14ac:dyDescent="0.3">
      <c r="A81" t="s">
        <v>51</v>
      </c>
      <c r="B81" s="13" t="s">
        <v>140</v>
      </c>
      <c r="C81" s="4">
        <v>1200</v>
      </c>
      <c r="D81" s="4">
        <v>1950</v>
      </c>
      <c r="E81" s="1">
        <v>0.38</v>
      </c>
      <c r="F81" s="1" t="str">
        <f t="shared" si="4"/>
        <v>Medium Discount</v>
      </c>
      <c r="G81" s="4">
        <f t="shared" si="3"/>
        <v>750</v>
      </c>
      <c r="I81" s="7"/>
    </row>
    <row r="82" spans="1:9" x14ac:dyDescent="0.3">
      <c r="A82" t="s">
        <v>57</v>
      </c>
      <c r="B82" s="13" t="s">
        <v>142</v>
      </c>
      <c r="C82" s="4">
        <v>799</v>
      </c>
      <c r="D82" s="4">
        <v>1343</v>
      </c>
      <c r="E82" s="1">
        <v>0.41</v>
      </c>
      <c r="F82" s="1" t="str">
        <f t="shared" si="4"/>
        <v>High Discount</v>
      </c>
      <c r="G82" s="4">
        <f t="shared" si="3"/>
        <v>544</v>
      </c>
      <c r="I82" s="7"/>
    </row>
    <row r="83" spans="1:9" x14ac:dyDescent="0.3">
      <c r="A83" t="s">
        <v>103</v>
      </c>
      <c r="B83" s="13" t="s">
        <v>149</v>
      </c>
      <c r="C83" s="4">
        <v>1420</v>
      </c>
      <c r="D83" s="4">
        <v>2420</v>
      </c>
      <c r="E83" s="1">
        <v>0.41</v>
      </c>
      <c r="F83" s="1" t="str">
        <f t="shared" si="4"/>
        <v>High Discount</v>
      </c>
      <c r="G83" s="4">
        <f t="shared" si="3"/>
        <v>1000</v>
      </c>
      <c r="I83" s="7"/>
    </row>
    <row r="84" spans="1:9" x14ac:dyDescent="0.3">
      <c r="A84" t="s">
        <v>25</v>
      </c>
      <c r="B84" s="13" t="s">
        <v>138</v>
      </c>
      <c r="C84" s="4">
        <v>1860</v>
      </c>
      <c r="D84" s="4">
        <v>3220</v>
      </c>
      <c r="E84" s="1">
        <v>0.42</v>
      </c>
      <c r="F84" s="1" t="str">
        <f t="shared" si="4"/>
        <v>High Discount</v>
      </c>
      <c r="G84" s="4">
        <f t="shared" si="3"/>
        <v>1360</v>
      </c>
      <c r="I84" s="7"/>
    </row>
    <row r="85" spans="1:9" x14ac:dyDescent="0.3">
      <c r="A85" t="s">
        <v>46</v>
      </c>
      <c r="B85" s="13" t="s">
        <v>142</v>
      </c>
      <c r="C85" s="4">
        <v>610</v>
      </c>
      <c r="D85" s="4">
        <v>1060</v>
      </c>
      <c r="E85" s="1">
        <v>0.42</v>
      </c>
      <c r="F85" s="1" t="str">
        <f t="shared" si="4"/>
        <v>High Discount</v>
      </c>
      <c r="G85" s="4">
        <f t="shared" si="3"/>
        <v>450</v>
      </c>
      <c r="I85" s="7"/>
    </row>
    <row r="86" spans="1:9" x14ac:dyDescent="0.3">
      <c r="A86" t="s">
        <v>101</v>
      </c>
      <c r="B86" s="13" t="s">
        <v>137</v>
      </c>
      <c r="C86" s="4">
        <v>1080</v>
      </c>
      <c r="D86" s="4">
        <v>1874</v>
      </c>
      <c r="E86" s="1">
        <v>0.42</v>
      </c>
      <c r="F86" s="1" t="str">
        <f t="shared" si="4"/>
        <v>High Discount</v>
      </c>
      <c r="G86" s="4">
        <f t="shared" si="3"/>
        <v>794</v>
      </c>
      <c r="I86" s="7"/>
    </row>
    <row r="87" spans="1:9" x14ac:dyDescent="0.3">
      <c r="A87" t="s">
        <v>78</v>
      </c>
      <c r="B87" s="13" t="s">
        <v>143</v>
      </c>
      <c r="C87" s="4">
        <v>690</v>
      </c>
      <c r="D87" s="4">
        <v>1200</v>
      </c>
      <c r="E87" s="1">
        <v>0.43</v>
      </c>
      <c r="F87" s="1" t="str">
        <f t="shared" si="4"/>
        <v>High Discount</v>
      </c>
      <c r="G87" s="4">
        <f t="shared" si="3"/>
        <v>510</v>
      </c>
      <c r="I87" s="7"/>
    </row>
    <row r="88" spans="1:9" x14ac:dyDescent="0.3">
      <c r="A88" t="s">
        <v>90</v>
      </c>
      <c r="B88" s="13" t="s">
        <v>141</v>
      </c>
      <c r="C88" s="4">
        <v>630</v>
      </c>
      <c r="D88" s="4">
        <v>1100</v>
      </c>
      <c r="E88" s="1">
        <v>0.43</v>
      </c>
      <c r="F88" s="1" t="str">
        <f t="shared" si="4"/>
        <v>High Discount</v>
      </c>
      <c r="G88" s="4">
        <f t="shared" si="3"/>
        <v>470</v>
      </c>
      <c r="I88" s="7"/>
    </row>
    <row r="89" spans="1:9" x14ac:dyDescent="0.3">
      <c r="A89" t="s">
        <v>58</v>
      </c>
      <c r="B89" s="13" t="s">
        <v>142</v>
      </c>
      <c r="C89" s="4">
        <v>499</v>
      </c>
      <c r="D89" s="4">
        <v>900</v>
      </c>
      <c r="E89" s="1">
        <v>0.45</v>
      </c>
      <c r="F89" s="1" t="str">
        <f t="shared" si="4"/>
        <v>High Discount</v>
      </c>
      <c r="G89" s="4">
        <f t="shared" si="3"/>
        <v>401</v>
      </c>
      <c r="I89" s="7"/>
    </row>
    <row r="90" spans="1:9" x14ac:dyDescent="0.3">
      <c r="A90" t="s">
        <v>33</v>
      </c>
      <c r="B90" s="13" t="s">
        <v>141</v>
      </c>
      <c r="C90" s="4">
        <v>2200</v>
      </c>
      <c r="D90" s="4">
        <v>4080</v>
      </c>
      <c r="E90" s="1">
        <v>0.46</v>
      </c>
      <c r="F90" s="1" t="str">
        <f t="shared" si="4"/>
        <v>High Discount</v>
      </c>
      <c r="G90" s="4">
        <f t="shared" si="3"/>
        <v>1880</v>
      </c>
      <c r="I90" s="7"/>
    </row>
    <row r="91" spans="1:9" x14ac:dyDescent="0.3">
      <c r="A91" t="s">
        <v>77</v>
      </c>
      <c r="B91" s="13" t="s">
        <v>140</v>
      </c>
      <c r="C91" s="4">
        <v>790</v>
      </c>
      <c r="D91" s="4">
        <v>1485</v>
      </c>
      <c r="E91" s="1">
        <v>0.47</v>
      </c>
      <c r="F91" s="1" t="str">
        <f t="shared" si="4"/>
        <v>High Discount</v>
      </c>
      <c r="G91" s="4">
        <f t="shared" si="3"/>
        <v>695</v>
      </c>
      <c r="I91" s="7"/>
    </row>
    <row r="92" spans="1:9" x14ac:dyDescent="0.3">
      <c r="A92" t="s">
        <v>94</v>
      </c>
      <c r="B92" s="13" t="s">
        <v>141</v>
      </c>
      <c r="C92" s="4">
        <v>899</v>
      </c>
      <c r="D92" s="4">
        <v>1699</v>
      </c>
      <c r="E92" s="1">
        <v>0.47</v>
      </c>
      <c r="F92" s="1" t="str">
        <f t="shared" si="4"/>
        <v>High Discount</v>
      </c>
      <c r="G92" s="4">
        <f t="shared" si="3"/>
        <v>800</v>
      </c>
      <c r="I92" s="7"/>
    </row>
    <row r="93" spans="1:9" x14ac:dyDescent="0.3">
      <c r="A93" t="s">
        <v>112</v>
      </c>
      <c r="B93" s="13" t="s">
        <v>143</v>
      </c>
      <c r="C93" s="4">
        <v>169</v>
      </c>
      <c r="D93" s="4">
        <v>320</v>
      </c>
      <c r="E93" s="1">
        <v>0.47</v>
      </c>
      <c r="F93" s="1" t="str">
        <f t="shared" si="4"/>
        <v>High Discount</v>
      </c>
      <c r="G93" s="4">
        <f t="shared" si="3"/>
        <v>151</v>
      </c>
      <c r="I93" s="7"/>
    </row>
    <row r="94" spans="1:9" x14ac:dyDescent="0.3">
      <c r="A94" t="s">
        <v>59</v>
      </c>
      <c r="B94" s="13" t="s">
        <v>142</v>
      </c>
      <c r="C94" s="4">
        <v>699</v>
      </c>
      <c r="D94" s="4">
        <v>1343</v>
      </c>
      <c r="E94" s="1">
        <v>0.48</v>
      </c>
      <c r="F94" s="1" t="str">
        <f t="shared" si="4"/>
        <v>High Discount</v>
      </c>
      <c r="G94" s="4">
        <f t="shared" si="3"/>
        <v>644</v>
      </c>
      <c r="I94" s="7"/>
    </row>
    <row r="95" spans="1:9" x14ac:dyDescent="0.3">
      <c r="A95" t="s">
        <v>92</v>
      </c>
      <c r="B95" s="13" t="s">
        <v>146</v>
      </c>
      <c r="C95" s="4">
        <v>1300</v>
      </c>
      <c r="D95" s="4">
        <v>2500</v>
      </c>
      <c r="E95" s="1">
        <v>0.48</v>
      </c>
      <c r="F95" s="1" t="str">
        <f t="shared" si="4"/>
        <v>High Discount</v>
      </c>
      <c r="G95" s="4">
        <f t="shared" si="3"/>
        <v>1200</v>
      </c>
      <c r="I95" s="7"/>
    </row>
    <row r="96" spans="1:9" x14ac:dyDescent="0.3">
      <c r="A96" t="s">
        <v>93</v>
      </c>
      <c r="B96" s="13" t="s">
        <v>136</v>
      </c>
      <c r="C96" s="4">
        <v>105</v>
      </c>
      <c r="D96" s="4">
        <v>200</v>
      </c>
      <c r="E96" s="1">
        <v>0.48</v>
      </c>
      <c r="F96" s="1" t="str">
        <f t="shared" si="4"/>
        <v>High Discount</v>
      </c>
      <c r="G96" s="4">
        <f t="shared" si="3"/>
        <v>95</v>
      </c>
      <c r="I96" s="7"/>
    </row>
    <row r="97" spans="1:9" ht="27.6" x14ac:dyDescent="0.3">
      <c r="A97" t="s">
        <v>44</v>
      </c>
      <c r="B97" s="13" t="s">
        <v>147</v>
      </c>
      <c r="C97" s="4">
        <v>475</v>
      </c>
      <c r="D97" s="4">
        <v>931</v>
      </c>
      <c r="E97" s="1">
        <v>0.49</v>
      </c>
      <c r="F97" s="1" t="str">
        <f t="shared" si="4"/>
        <v>High Discount</v>
      </c>
      <c r="G97" s="4">
        <f t="shared" si="3"/>
        <v>456</v>
      </c>
      <c r="I97" s="7"/>
    </row>
    <row r="98" spans="1:9" x14ac:dyDescent="0.3">
      <c r="A98" t="s">
        <v>50</v>
      </c>
      <c r="B98" s="13" t="s">
        <v>139</v>
      </c>
      <c r="C98" s="4">
        <v>671</v>
      </c>
      <c r="D98" s="4">
        <v>1316</v>
      </c>
      <c r="E98" s="1">
        <v>0.49</v>
      </c>
      <c r="F98" s="1" t="str">
        <f t="shared" si="4"/>
        <v>High Discount</v>
      </c>
      <c r="G98" s="4">
        <f t="shared" si="3"/>
        <v>645</v>
      </c>
      <c r="I98" s="7"/>
    </row>
    <row r="99" spans="1:9" x14ac:dyDescent="0.3">
      <c r="A99" t="s">
        <v>60</v>
      </c>
      <c r="B99" s="13" t="s">
        <v>137</v>
      </c>
      <c r="C99" s="4">
        <v>799</v>
      </c>
      <c r="D99" s="4">
        <v>1567</v>
      </c>
      <c r="E99" s="1">
        <v>0.49</v>
      </c>
      <c r="F99" s="1" t="str">
        <f t="shared" si="4"/>
        <v>High Discount</v>
      </c>
      <c r="G99" s="4">
        <f t="shared" si="3"/>
        <v>768</v>
      </c>
      <c r="I99" s="7"/>
    </row>
    <row r="100" spans="1:9" x14ac:dyDescent="0.3">
      <c r="A100" t="s">
        <v>80</v>
      </c>
      <c r="B100" s="13" t="s">
        <v>149</v>
      </c>
      <c r="C100" s="4">
        <v>230</v>
      </c>
      <c r="D100" s="4">
        <v>450</v>
      </c>
      <c r="E100" s="1">
        <v>0.49</v>
      </c>
      <c r="F100" s="1" t="str">
        <f t="shared" si="4"/>
        <v>High Discount</v>
      </c>
      <c r="G100" s="4">
        <f t="shared" si="3"/>
        <v>220</v>
      </c>
      <c r="I100" s="7"/>
    </row>
    <row r="101" spans="1:9" x14ac:dyDescent="0.3">
      <c r="A101" t="s">
        <v>52</v>
      </c>
      <c r="B101" s="13" t="s">
        <v>151</v>
      </c>
      <c r="C101" s="4">
        <v>176</v>
      </c>
      <c r="D101" s="4">
        <v>345</v>
      </c>
      <c r="E101" s="1">
        <v>0.49</v>
      </c>
      <c r="F101" s="1" t="str">
        <f t="shared" si="4"/>
        <v>High Discount</v>
      </c>
      <c r="G101" s="4">
        <f t="shared" si="3"/>
        <v>169</v>
      </c>
      <c r="I101" s="7"/>
    </row>
    <row r="102" spans="1:9" x14ac:dyDescent="0.3">
      <c r="A102" t="s">
        <v>87</v>
      </c>
      <c r="B102" s="13" t="s">
        <v>139</v>
      </c>
      <c r="C102" s="4">
        <v>274</v>
      </c>
      <c r="D102" s="4">
        <v>537</v>
      </c>
      <c r="E102" s="1">
        <v>0.49</v>
      </c>
      <c r="F102" s="1" t="str">
        <f t="shared" si="4"/>
        <v>High Discount</v>
      </c>
      <c r="G102" s="4">
        <f t="shared" si="3"/>
        <v>263</v>
      </c>
      <c r="I102" s="7"/>
    </row>
    <row r="103" spans="1:9" x14ac:dyDescent="0.3">
      <c r="A103" t="s">
        <v>60</v>
      </c>
      <c r="B103" s="13" t="s">
        <v>137</v>
      </c>
      <c r="C103" s="4">
        <v>657</v>
      </c>
      <c r="D103" s="4">
        <v>1288</v>
      </c>
      <c r="E103" s="1">
        <v>0.49</v>
      </c>
      <c r="F103" s="1" t="str">
        <f t="shared" si="4"/>
        <v>High Discount</v>
      </c>
      <c r="G103" s="4">
        <f t="shared" si="3"/>
        <v>631</v>
      </c>
      <c r="I103" s="7"/>
    </row>
    <row r="104" spans="1:9" x14ac:dyDescent="0.3">
      <c r="A104" t="s">
        <v>98</v>
      </c>
      <c r="B104" s="13" t="s">
        <v>143</v>
      </c>
      <c r="C104" s="4">
        <v>248</v>
      </c>
      <c r="D104" s="4">
        <v>486</v>
      </c>
      <c r="E104" s="1">
        <v>0.49</v>
      </c>
      <c r="F104" s="1" t="str">
        <f t="shared" si="4"/>
        <v>High Discount</v>
      </c>
      <c r="G104" s="4">
        <f t="shared" si="3"/>
        <v>238</v>
      </c>
      <c r="I104" s="7"/>
    </row>
    <row r="105" spans="1:9" x14ac:dyDescent="0.3">
      <c r="A105" t="s">
        <v>100</v>
      </c>
      <c r="B105" s="13" t="s">
        <v>148</v>
      </c>
      <c r="C105" s="4">
        <v>525</v>
      </c>
      <c r="D105" s="4">
        <v>1029</v>
      </c>
      <c r="E105" s="1">
        <v>0.49</v>
      </c>
      <c r="F105" s="1" t="str">
        <f t="shared" si="4"/>
        <v>High Discount</v>
      </c>
      <c r="G105" s="4">
        <f t="shared" si="3"/>
        <v>504</v>
      </c>
      <c r="I105" s="7"/>
    </row>
    <row r="106" spans="1:9" x14ac:dyDescent="0.3">
      <c r="A106" t="s">
        <v>45</v>
      </c>
      <c r="B106" s="13" t="s">
        <v>142</v>
      </c>
      <c r="C106" s="4">
        <v>238</v>
      </c>
      <c r="D106" s="4">
        <v>476</v>
      </c>
      <c r="E106" s="1">
        <v>0.5</v>
      </c>
      <c r="F106" s="1" t="str">
        <f t="shared" si="4"/>
        <v>High Discount</v>
      </c>
      <c r="G106" s="4">
        <f t="shared" si="3"/>
        <v>238</v>
      </c>
      <c r="I106" s="7"/>
    </row>
    <row r="107" spans="1:9" x14ac:dyDescent="0.3">
      <c r="A107" t="s">
        <v>48</v>
      </c>
      <c r="B107" s="13" t="s">
        <v>142</v>
      </c>
      <c r="C107" s="4">
        <v>999</v>
      </c>
      <c r="D107" s="4">
        <v>2000</v>
      </c>
      <c r="E107" s="1">
        <v>0.5</v>
      </c>
      <c r="F107" s="1" t="str">
        <f t="shared" si="4"/>
        <v>High Discount</v>
      </c>
      <c r="G107" s="4">
        <f t="shared" si="3"/>
        <v>1001</v>
      </c>
      <c r="I107" s="7"/>
    </row>
    <row r="108" spans="1:9" x14ac:dyDescent="0.3">
      <c r="A108" t="s">
        <v>53</v>
      </c>
      <c r="B108" s="13" t="s">
        <v>136</v>
      </c>
      <c r="C108" s="4">
        <v>299</v>
      </c>
      <c r="D108" s="4">
        <v>600</v>
      </c>
      <c r="E108" s="1">
        <v>0.5</v>
      </c>
      <c r="F108" s="1" t="str">
        <f t="shared" si="4"/>
        <v>High Discount</v>
      </c>
      <c r="G108" s="4">
        <f t="shared" si="3"/>
        <v>301</v>
      </c>
      <c r="I108" s="7"/>
    </row>
    <row r="109" spans="1:9" x14ac:dyDescent="0.3">
      <c r="A109" t="s">
        <v>91</v>
      </c>
      <c r="B109" s="13" t="s">
        <v>142</v>
      </c>
      <c r="C109" s="4">
        <v>850</v>
      </c>
      <c r="D109" s="4">
        <v>1700</v>
      </c>
      <c r="E109" s="1">
        <v>0.5</v>
      </c>
      <c r="F109" s="1" t="str">
        <f t="shared" si="4"/>
        <v>High Discount</v>
      </c>
      <c r="G109" s="4">
        <f t="shared" si="3"/>
        <v>850</v>
      </c>
      <c r="I109" s="7"/>
    </row>
    <row r="110" spans="1:9" x14ac:dyDescent="0.3">
      <c r="A110" t="s">
        <v>95</v>
      </c>
      <c r="B110" s="13" t="s">
        <v>142</v>
      </c>
      <c r="C110" s="4">
        <v>1200</v>
      </c>
      <c r="D110" s="4">
        <v>2400</v>
      </c>
      <c r="E110" s="1">
        <v>0.5</v>
      </c>
      <c r="F110" s="1" t="str">
        <f t="shared" si="4"/>
        <v>High Discount</v>
      </c>
      <c r="G110" s="4">
        <f t="shared" si="3"/>
        <v>1200</v>
      </c>
      <c r="I110" s="7"/>
    </row>
    <row r="111" spans="1:9" x14ac:dyDescent="0.3">
      <c r="A111" t="s">
        <v>58</v>
      </c>
      <c r="B111" s="13" t="s">
        <v>142</v>
      </c>
      <c r="C111" s="4">
        <v>399</v>
      </c>
      <c r="D111" s="4">
        <v>896</v>
      </c>
      <c r="E111" s="1">
        <v>0.55000000000000004</v>
      </c>
      <c r="F111" s="1" t="str">
        <f t="shared" si="4"/>
        <v>High Discount</v>
      </c>
      <c r="G111" s="4">
        <f t="shared" si="3"/>
        <v>497</v>
      </c>
      <c r="I111" s="7"/>
    </row>
    <row r="112" spans="1:9" x14ac:dyDescent="0.3">
      <c r="A112" t="s">
        <v>52</v>
      </c>
      <c r="B112" s="13" t="s">
        <v>151</v>
      </c>
      <c r="C112" s="4">
        <v>199</v>
      </c>
      <c r="D112" s="4">
        <v>504</v>
      </c>
      <c r="E112" s="1">
        <v>0.61</v>
      </c>
      <c r="F112" s="1" t="str">
        <f t="shared" si="4"/>
        <v>High Discount</v>
      </c>
      <c r="G112" s="4">
        <f t="shared" si="3"/>
        <v>305</v>
      </c>
      <c r="I112" s="7"/>
    </row>
    <row r="113" spans="1:9" x14ac:dyDescent="0.3">
      <c r="A113" t="s">
        <v>110</v>
      </c>
      <c r="B113" s="13" t="s">
        <v>143</v>
      </c>
      <c r="C113" s="4">
        <v>199</v>
      </c>
      <c r="D113" s="4">
        <v>553</v>
      </c>
      <c r="E113" s="1">
        <v>0.64</v>
      </c>
      <c r="F113" s="1" t="str">
        <f t="shared" si="4"/>
        <v>High Discount</v>
      </c>
      <c r="G113" s="4">
        <f t="shared" si="3"/>
        <v>354</v>
      </c>
      <c r="I113" s="7"/>
    </row>
    <row r="114" spans="1:9" x14ac:dyDescent="0.3">
      <c r="A114">
        <f>COUNTA(Table1[Product])</f>
        <v>112</v>
      </c>
      <c r="C114" s="4">
        <f>SUBTOTAL(101,Table1[Current price])</f>
        <v>1186.8928571428571</v>
      </c>
      <c r="D114" s="4">
        <f>SUBTOTAL(101,Table1[Old price])</f>
        <v>1811.1071428571429</v>
      </c>
      <c r="E114" s="1">
        <f>SUBTOTAL(101,Table1[Discount])</f>
        <v>0.3677678571428572</v>
      </c>
      <c r="F114" s="1"/>
      <c r="G114" s="4">
        <f>SUBTOTAL(101,Table1[Total Discount])</f>
        <v>624.21428571428567</v>
      </c>
      <c r="H114" s="8">
        <f>SUBTOTAL(109,Table1[Review])</f>
        <v>723</v>
      </c>
      <c r="I114" s="7">
        <f>SUBTOTAL(101,Table1[Ratings])</f>
        <v>3.8894736842105262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99BF-F5C4-4F5F-AA52-FF480A1BF298}">
  <dimension ref="A3:L124"/>
  <sheetViews>
    <sheetView topLeftCell="A116" workbookViewId="0">
      <selection activeCell="A131" sqref="A131"/>
    </sheetView>
  </sheetViews>
  <sheetFormatPr defaultRowHeight="14.4" x14ac:dyDescent="0.3"/>
  <cols>
    <col min="1" max="1" width="12.5546875" bestFit="1" customWidth="1"/>
    <col min="2" max="3" width="13.5546875" bestFit="1" customWidth="1"/>
    <col min="4" max="4" width="16" bestFit="1" customWidth="1"/>
    <col min="5" max="5" width="10.77734375" bestFit="1" customWidth="1"/>
    <col min="6" max="6" width="7" bestFit="1" customWidth="1"/>
    <col min="7" max="7" width="10.77734375" bestFit="1" customWidth="1"/>
  </cols>
  <sheetData>
    <row r="3" spans="1:2" x14ac:dyDescent="0.3">
      <c r="A3" s="10" t="s">
        <v>120</v>
      </c>
      <c r="B3" t="s">
        <v>122</v>
      </c>
    </row>
    <row r="4" spans="1:2" x14ac:dyDescent="0.3">
      <c r="A4" s="11" t="s">
        <v>70</v>
      </c>
      <c r="B4" s="4">
        <v>3750</v>
      </c>
    </row>
    <row r="5" spans="1:2" x14ac:dyDescent="0.3">
      <c r="A5" s="11" t="s">
        <v>121</v>
      </c>
      <c r="B5" s="4">
        <v>3750</v>
      </c>
    </row>
    <row r="9" spans="1:2" x14ac:dyDescent="0.3">
      <c r="A9" s="10" t="s">
        <v>120</v>
      </c>
      <c r="B9" t="s">
        <v>122</v>
      </c>
    </row>
    <row r="10" spans="1:2" x14ac:dyDescent="0.3">
      <c r="A10" s="11" t="s">
        <v>24</v>
      </c>
      <c r="B10" s="4">
        <v>38</v>
      </c>
    </row>
    <row r="11" spans="1:2" x14ac:dyDescent="0.3">
      <c r="A11" s="11" t="s">
        <v>121</v>
      </c>
      <c r="B11" s="4">
        <v>38</v>
      </c>
    </row>
    <row r="15" spans="1:2" x14ac:dyDescent="0.3">
      <c r="A15" s="10" t="s">
        <v>120</v>
      </c>
      <c r="B15" t="s">
        <v>131</v>
      </c>
    </row>
    <row r="16" spans="1:2" x14ac:dyDescent="0.3">
      <c r="A16" s="11" t="s">
        <v>127</v>
      </c>
      <c r="B16" s="14">
        <v>3.6133333333333328</v>
      </c>
    </row>
    <row r="17" spans="1:2" x14ac:dyDescent="0.3">
      <c r="A17" s="11" t="s">
        <v>128</v>
      </c>
      <c r="B17" s="14">
        <v>3.7250000000000001</v>
      </c>
    </row>
    <row r="18" spans="1:2" x14ac:dyDescent="0.3">
      <c r="A18" s="11" t="s">
        <v>129</v>
      </c>
      <c r="B18" s="14">
        <v>4.2782608695652167</v>
      </c>
    </row>
    <row r="19" spans="1:2" x14ac:dyDescent="0.3">
      <c r="A19" s="11" t="s">
        <v>121</v>
      </c>
      <c r="B19" s="14">
        <v>3.8894736842105253</v>
      </c>
    </row>
    <row r="23" spans="1:2" x14ac:dyDescent="0.3">
      <c r="A23" s="10" t="s">
        <v>120</v>
      </c>
      <c r="B23" t="s">
        <v>133</v>
      </c>
    </row>
    <row r="24" spans="1:2" x14ac:dyDescent="0.3">
      <c r="A24" s="11" t="s">
        <v>128</v>
      </c>
      <c r="B24" s="14">
        <v>38</v>
      </c>
    </row>
    <row r="25" spans="1:2" x14ac:dyDescent="0.3">
      <c r="A25" s="11" t="s">
        <v>127</v>
      </c>
      <c r="B25" s="14">
        <v>334</v>
      </c>
    </row>
    <row r="26" spans="1:2" x14ac:dyDescent="0.3">
      <c r="A26" s="11" t="s">
        <v>129</v>
      </c>
      <c r="B26" s="14">
        <v>351</v>
      </c>
    </row>
    <row r="27" spans="1:2" x14ac:dyDescent="0.3">
      <c r="A27" s="11" t="s">
        <v>121</v>
      </c>
      <c r="B27" s="14">
        <v>723</v>
      </c>
    </row>
    <row r="32" spans="1:2" x14ac:dyDescent="0.3">
      <c r="A32" s="10" t="s">
        <v>120</v>
      </c>
      <c r="B32" t="s">
        <v>133</v>
      </c>
    </row>
    <row r="33" spans="1:2" x14ac:dyDescent="0.3">
      <c r="A33" s="11" t="s">
        <v>124</v>
      </c>
      <c r="B33" s="14">
        <v>331</v>
      </c>
    </row>
    <row r="34" spans="1:2" x14ac:dyDescent="0.3">
      <c r="A34" s="11" t="s">
        <v>126</v>
      </c>
      <c r="B34" s="14">
        <v>169</v>
      </c>
    </row>
    <row r="35" spans="1:2" x14ac:dyDescent="0.3">
      <c r="A35" s="11" t="s">
        <v>125</v>
      </c>
      <c r="B35" s="14">
        <v>130</v>
      </c>
    </row>
    <row r="36" spans="1:2" x14ac:dyDescent="0.3">
      <c r="A36" s="11" t="s">
        <v>123</v>
      </c>
      <c r="B36" s="14">
        <v>93</v>
      </c>
    </row>
    <row r="37" spans="1:2" x14ac:dyDescent="0.3">
      <c r="A37" s="11" t="s">
        <v>121</v>
      </c>
      <c r="B37" s="14">
        <v>723</v>
      </c>
    </row>
    <row r="41" spans="1:2" x14ac:dyDescent="0.3">
      <c r="A41" s="10" t="s">
        <v>120</v>
      </c>
      <c r="B41" t="s">
        <v>131</v>
      </c>
    </row>
    <row r="42" spans="1:2" x14ac:dyDescent="0.3">
      <c r="A42" s="11" t="s">
        <v>144</v>
      </c>
      <c r="B42" s="14">
        <v>4.6500000000000004</v>
      </c>
    </row>
    <row r="43" spans="1:2" x14ac:dyDescent="0.3">
      <c r="A43" s="11" t="s">
        <v>139</v>
      </c>
      <c r="B43" s="14">
        <v>4.5999999999999996</v>
      </c>
    </row>
    <row r="44" spans="1:2" x14ac:dyDescent="0.3">
      <c r="A44" s="11" t="s">
        <v>136</v>
      </c>
      <c r="B44" s="14">
        <v>4.3166666666666673</v>
      </c>
    </row>
    <row r="45" spans="1:2" x14ac:dyDescent="0.3">
      <c r="A45" s="11" t="s">
        <v>141</v>
      </c>
      <c r="B45" s="14">
        <v>4.2166666666666668</v>
      </c>
    </row>
    <row r="46" spans="1:2" x14ac:dyDescent="0.3">
      <c r="A46" s="11" t="s">
        <v>137</v>
      </c>
      <c r="B46" s="14">
        <v>4.1500000000000004</v>
      </c>
    </row>
    <row r="47" spans="1:2" x14ac:dyDescent="0.3">
      <c r="A47" s="11" t="s">
        <v>145</v>
      </c>
      <c r="B47" s="14">
        <v>4.125</v>
      </c>
    </row>
    <row r="48" spans="1:2" x14ac:dyDescent="0.3">
      <c r="A48" s="11" t="s">
        <v>142</v>
      </c>
      <c r="B48" s="14">
        <v>4.0555555555555554</v>
      </c>
    </row>
    <row r="49" spans="1:2" x14ac:dyDescent="0.3">
      <c r="A49" s="11" t="s">
        <v>143</v>
      </c>
      <c r="B49" s="14">
        <v>3.6833333333333336</v>
      </c>
    </row>
    <row r="50" spans="1:2" x14ac:dyDescent="0.3">
      <c r="A50" s="11" t="s">
        <v>138</v>
      </c>
      <c r="B50" s="14">
        <v>3.6249999999999996</v>
      </c>
    </row>
    <row r="51" spans="1:2" x14ac:dyDescent="0.3">
      <c r="A51" s="11" t="s">
        <v>135</v>
      </c>
      <c r="B51" s="14">
        <v>3.4142857142857141</v>
      </c>
    </row>
    <row r="52" spans="1:2" x14ac:dyDescent="0.3">
      <c r="A52" s="11" t="s">
        <v>121</v>
      </c>
      <c r="B52" s="14">
        <v>3.996226415094339</v>
      </c>
    </row>
    <row r="75" spans="1:2" x14ac:dyDescent="0.3">
      <c r="A75" s="10" t="s">
        <v>120</v>
      </c>
      <c r="B75" t="s">
        <v>132</v>
      </c>
    </row>
    <row r="76" spans="1:2" x14ac:dyDescent="0.3">
      <c r="A76" s="11" t="s">
        <v>64</v>
      </c>
      <c r="B76" s="4">
        <v>2585</v>
      </c>
    </row>
    <row r="77" spans="1:2" x14ac:dyDescent="0.3">
      <c r="A77" s="11" t="s">
        <v>28</v>
      </c>
      <c r="B77" s="4">
        <v>2452</v>
      </c>
    </row>
    <row r="78" spans="1:2" x14ac:dyDescent="0.3">
      <c r="A78" s="11" t="s">
        <v>70</v>
      </c>
      <c r="B78" s="4">
        <v>2393</v>
      </c>
    </row>
    <row r="79" spans="1:2" x14ac:dyDescent="0.3">
      <c r="A79" s="11" t="s">
        <v>21</v>
      </c>
      <c r="B79" s="4">
        <v>1946</v>
      </c>
    </row>
    <row r="80" spans="1:2" x14ac:dyDescent="0.3">
      <c r="A80" s="11" t="s">
        <v>36</v>
      </c>
      <c r="B80" s="4">
        <v>1670</v>
      </c>
    </row>
    <row r="81" spans="1:3" x14ac:dyDescent="0.3">
      <c r="A81" s="11" t="s">
        <v>12</v>
      </c>
      <c r="B81" s="4">
        <v>1526</v>
      </c>
    </row>
    <row r="82" spans="1:3" x14ac:dyDescent="0.3">
      <c r="A82" s="11" t="s">
        <v>76</v>
      </c>
      <c r="B82" s="4">
        <v>1418</v>
      </c>
    </row>
    <row r="83" spans="1:3" x14ac:dyDescent="0.3">
      <c r="A83" s="11" t="s">
        <v>13</v>
      </c>
      <c r="B83" s="4">
        <v>1329</v>
      </c>
    </row>
    <row r="84" spans="1:3" x14ac:dyDescent="0.3">
      <c r="A84" s="11" t="s">
        <v>39</v>
      </c>
      <c r="B84" s="4">
        <v>1070</v>
      </c>
    </row>
    <row r="85" spans="1:3" x14ac:dyDescent="0.3">
      <c r="A85" s="11" t="s">
        <v>81</v>
      </c>
      <c r="B85" s="4">
        <v>1010</v>
      </c>
    </row>
    <row r="86" spans="1:3" x14ac:dyDescent="0.3">
      <c r="A86" s="11" t="s">
        <v>121</v>
      </c>
      <c r="B86" s="4">
        <v>17399</v>
      </c>
    </row>
    <row r="93" spans="1:3" x14ac:dyDescent="0.3">
      <c r="A93" s="10" t="s">
        <v>120</v>
      </c>
      <c r="B93" t="s">
        <v>130</v>
      </c>
      <c r="C93" t="s">
        <v>133</v>
      </c>
    </row>
    <row r="94" spans="1:3" x14ac:dyDescent="0.3">
      <c r="A94" s="11" t="s">
        <v>127</v>
      </c>
      <c r="B94" s="1">
        <v>0.48533333333333334</v>
      </c>
      <c r="C94" s="14">
        <v>334</v>
      </c>
    </row>
    <row r="95" spans="1:3" x14ac:dyDescent="0.3">
      <c r="A95" s="11" t="s">
        <v>128</v>
      </c>
      <c r="B95" s="1">
        <v>0.14750000000000002</v>
      </c>
      <c r="C95" s="14">
        <v>38</v>
      </c>
    </row>
    <row r="96" spans="1:3" x14ac:dyDescent="0.3">
      <c r="A96" s="11" t="s">
        <v>129</v>
      </c>
      <c r="B96" s="1">
        <v>0.30695652173913041</v>
      </c>
      <c r="C96" s="14">
        <v>351</v>
      </c>
    </row>
    <row r="97" spans="1:3" x14ac:dyDescent="0.3">
      <c r="A97" s="11" t="s">
        <v>121</v>
      </c>
      <c r="B97" s="1">
        <v>0.38964912280701758</v>
      </c>
      <c r="C97" s="14">
        <v>723</v>
      </c>
    </row>
    <row r="113" spans="1:12" x14ac:dyDescent="0.3">
      <c r="A113" s="10" t="s">
        <v>120</v>
      </c>
      <c r="B113" t="s">
        <v>133</v>
      </c>
    </row>
    <row r="114" spans="1:12" x14ac:dyDescent="0.3">
      <c r="A114" s="11" t="s">
        <v>65</v>
      </c>
      <c r="B114" s="14">
        <v>69</v>
      </c>
    </row>
    <row r="115" spans="1:12" x14ac:dyDescent="0.3">
      <c r="A115" s="11" t="s">
        <v>10</v>
      </c>
      <c r="B115" s="14">
        <v>55</v>
      </c>
    </row>
    <row r="116" spans="1:12" x14ac:dyDescent="0.3">
      <c r="A116" s="11" t="s">
        <v>29</v>
      </c>
      <c r="B116" s="14">
        <v>49</v>
      </c>
    </row>
    <row r="117" spans="1:12" x14ac:dyDescent="0.3">
      <c r="A117" s="11" t="s">
        <v>23</v>
      </c>
      <c r="B117" s="14">
        <v>44</v>
      </c>
    </row>
    <row r="118" spans="1:12" x14ac:dyDescent="0.3">
      <c r="A118" s="11" t="s">
        <v>15</v>
      </c>
      <c r="B118" s="14">
        <v>39</v>
      </c>
    </row>
    <row r="119" spans="1:12" x14ac:dyDescent="0.3">
      <c r="A119" s="11" t="s">
        <v>41</v>
      </c>
      <c r="B119" s="14">
        <v>36</v>
      </c>
    </row>
    <row r="120" spans="1:12" x14ac:dyDescent="0.3">
      <c r="A120" s="11" t="s">
        <v>38</v>
      </c>
      <c r="B120" s="14">
        <v>32</v>
      </c>
    </row>
    <row r="121" spans="1:12" x14ac:dyDescent="0.3">
      <c r="A121" s="11" t="s">
        <v>6</v>
      </c>
      <c r="B121" s="14">
        <v>24</v>
      </c>
    </row>
    <row r="122" spans="1:12" x14ac:dyDescent="0.3">
      <c r="A122" s="11" t="s">
        <v>37</v>
      </c>
      <c r="B122" s="14">
        <v>20</v>
      </c>
    </row>
    <row r="123" spans="1:12" ht="18" x14ac:dyDescent="0.3">
      <c r="A123" s="11" t="s">
        <v>32</v>
      </c>
      <c r="B123" s="14">
        <v>20</v>
      </c>
      <c r="L123" s="15"/>
    </row>
    <row r="124" spans="1:12" x14ac:dyDescent="0.3">
      <c r="A124" s="11" t="s">
        <v>121</v>
      </c>
      <c r="B124" s="14">
        <v>388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2927-25E2-42F4-952B-9AB54EE21E28}">
  <dimension ref="A1:W49"/>
  <sheetViews>
    <sheetView topLeftCell="A4" zoomScaleNormal="100" workbookViewId="0">
      <selection activeCell="Y12" sqref="Y12"/>
    </sheetView>
  </sheetViews>
  <sheetFormatPr defaultRowHeight="14.4" x14ac:dyDescent="0.3"/>
  <sheetData>
    <row r="1" spans="1:23" x14ac:dyDescent="0.3">
      <c r="A1" s="12"/>
      <c r="B1" s="12"/>
      <c r="C1" s="12"/>
      <c r="D1" s="12"/>
      <c r="E1" s="12"/>
      <c r="F1" s="12"/>
      <c r="G1" s="12"/>
      <c r="H1" s="12"/>
      <c r="I1" s="12"/>
      <c r="J1" s="12"/>
      <c r="K1" s="12"/>
      <c r="L1" s="12"/>
      <c r="M1" s="12"/>
      <c r="N1" s="12"/>
      <c r="O1" s="12"/>
      <c r="P1" s="12"/>
      <c r="Q1" s="12"/>
      <c r="R1" s="12"/>
      <c r="S1" s="12"/>
      <c r="T1" s="12"/>
      <c r="U1" s="12"/>
      <c r="V1" s="12"/>
      <c r="W1" s="12"/>
    </row>
    <row r="2" spans="1:23" x14ac:dyDescent="0.3">
      <c r="A2" s="12"/>
      <c r="B2" s="12"/>
      <c r="C2" s="12"/>
      <c r="D2" s="12"/>
      <c r="E2" s="12"/>
      <c r="F2" s="12"/>
      <c r="G2" s="12"/>
      <c r="H2" s="12"/>
      <c r="I2" s="12"/>
      <c r="J2" s="12"/>
      <c r="K2" s="12"/>
      <c r="L2" s="12"/>
      <c r="M2" s="12"/>
      <c r="N2" s="12"/>
      <c r="O2" s="12"/>
      <c r="P2" s="12"/>
      <c r="Q2" s="12"/>
      <c r="R2" s="12"/>
      <c r="S2" s="12"/>
      <c r="T2" s="12"/>
      <c r="U2" s="12"/>
      <c r="V2" s="12"/>
      <c r="W2" s="12"/>
    </row>
    <row r="3" spans="1:23" x14ac:dyDescent="0.3">
      <c r="A3" s="12"/>
      <c r="B3" s="12"/>
      <c r="C3" s="12"/>
      <c r="D3" s="12"/>
      <c r="E3" s="12"/>
      <c r="F3" s="12"/>
      <c r="G3" s="12"/>
      <c r="H3" s="12"/>
      <c r="I3" s="12"/>
      <c r="J3" s="12"/>
      <c r="K3" s="12"/>
      <c r="L3" s="12"/>
      <c r="M3" s="12"/>
      <c r="N3" s="12"/>
      <c r="O3" s="12"/>
      <c r="P3" s="12"/>
      <c r="Q3" s="12"/>
      <c r="R3" s="12"/>
      <c r="S3" s="12"/>
      <c r="T3" s="12"/>
      <c r="U3" s="12"/>
      <c r="V3" s="12"/>
      <c r="W3" s="12"/>
    </row>
    <row r="4" spans="1:23" x14ac:dyDescent="0.3">
      <c r="A4" s="12"/>
      <c r="B4" s="12"/>
      <c r="C4" s="12"/>
      <c r="D4" s="12"/>
      <c r="E4" s="12"/>
      <c r="F4" s="12"/>
      <c r="G4" s="12"/>
      <c r="H4" s="12"/>
      <c r="I4" s="12"/>
      <c r="J4" s="12"/>
      <c r="K4" s="12"/>
      <c r="L4" s="12"/>
      <c r="M4" s="12"/>
      <c r="N4" s="12"/>
      <c r="O4" s="12"/>
      <c r="P4" s="12"/>
      <c r="Q4" s="12"/>
      <c r="R4" s="12"/>
      <c r="S4" s="12"/>
      <c r="T4" s="12"/>
      <c r="U4" s="12"/>
      <c r="V4" s="12"/>
      <c r="W4" s="12"/>
    </row>
    <row r="5" spans="1:23" x14ac:dyDescent="0.3">
      <c r="A5" s="12"/>
      <c r="B5" s="12"/>
      <c r="C5" s="12"/>
      <c r="D5" s="12"/>
      <c r="E5" s="12"/>
      <c r="F5" s="12"/>
      <c r="G5" s="12"/>
      <c r="H5" s="12"/>
      <c r="I5" s="12"/>
      <c r="J5" s="12"/>
      <c r="K5" s="12"/>
      <c r="L5" s="12"/>
      <c r="M5" s="12"/>
      <c r="N5" s="12"/>
      <c r="O5" s="12"/>
      <c r="P5" s="12"/>
      <c r="Q5" s="12"/>
      <c r="R5" s="12"/>
      <c r="S5" s="12"/>
      <c r="T5" s="12"/>
      <c r="U5" s="12"/>
      <c r="V5" s="12"/>
      <c r="W5" s="12"/>
    </row>
    <row r="6" spans="1:23" x14ac:dyDescent="0.3">
      <c r="A6" s="12"/>
      <c r="B6" s="12"/>
      <c r="C6" s="12"/>
      <c r="D6" s="12"/>
      <c r="E6" s="12"/>
      <c r="F6" s="12"/>
      <c r="G6" s="12"/>
      <c r="H6" s="12"/>
      <c r="I6" s="12"/>
      <c r="J6" s="12"/>
      <c r="K6" s="12"/>
      <c r="L6" s="12"/>
      <c r="M6" s="12"/>
      <c r="N6" s="12"/>
      <c r="O6" s="12"/>
      <c r="P6" s="12"/>
      <c r="Q6" s="12"/>
      <c r="R6" s="12"/>
      <c r="S6" s="12"/>
      <c r="T6" s="12"/>
      <c r="U6" s="12"/>
      <c r="V6" s="12"/>
      <c r="W6" s="12"/>
    </row>
    <row r="7" spans="1:23" x14ac:dyDescent="0.3">
      <c r="A7" s="12"/>
      <c r="B7" s="12"/>
      <c r="C7" s="12"/>
      <c r="D7" s="12"/>
      <c r="E7" s="12"/>
      <c r="F7" s="12"/>
      <c r="G7" s="12"/>
      <c r="H7" s="12"/>
      <c r="I7" s="12"/>
      <c r="J7" s="12"/>
      <c r="K7" s="12"/>
      <c r="L7" s="12"/>
      <c r="M7" s="12"/>
      <c r="N7" s="12"/>
      <c r="O7" s="12"/>
      <c r="P7" s="12"/>
      <c r="Q7" s="12"/>
      <c r="R7" s="12"/>
      <c r="S7" s="12"/>
      <c r="T7" s="12"/>
      <c r="U7" s="12"/>
      <c r="V7" s="12"/>
      <c r="W7" s="12"/>
    </row>
    <row r="8" spans="1:23" x14ac:dyDescent="0.3">
      <c r="A8" s="12"/>
      <c r="B8" s="12"/>
      <c r="C8" s="12"/>
      <c r="D8" s="12"/>
      <c r="E8" s="12"/>
      <c r="F8" s="12"/>
      <c r="G8" s="12"/>
      <c r="H8" s="12"/>
      <c r="I8" s="12"/>
      <c r="J8" s="12"/>
      <c r="K8" s="12"/>
      <c r="L8" s="12"/>
      <c r="M8" s="12"/>
      <c r="N8" s="12"/>
      <c r="O8" s="12"/>
      <c r="P8" s="12"/>
      <c r="Q8" s="12"/>
      <c r="R8" s="12"/>
      <c r="S8" s="12"/>
      <c r="T8" s="12"/>
      <c r="U8" s="12"/>
      <c r="V8" s="12"/>
      <c r="W8" s="12"/>
    </row>
    <row r="9" spans="1:23" x14ac:dyDescent="0.3">
      <c r="A9" s="12"/>
      <c r="B9" s="12"/>
      <c r="C9" s="12"/>
      <c r="D9" s="12"/>
      <c r="E9" s="12"/>
      <c r="F9" s="12"/>
      <c r="G9" s="12"/>
      <c r="H9" s="12"/>
      <c r="I9" s="12"/>
      <c r="J9" s="12"/>
      <c r="K9" s="12"/>
      <c r="L9" s="12"/>
      <c r="M9" s="12"/>
      <c r="N9" s="12"/>
      <c r="O9" s="12"/>
      <c r="P9" s="12"/>
      <c r="Q9" s="12"/>
      <c r="R9" s="12"/>
      <c r="S9" s="12"/>
      <c r="T9" s="12"/>
      <c r="U9" s="12"/>
      <c r="V9" s="12"/>
      <c r="W9" s="12"/>
    </row>
    <row r="10" spans="1:23" x14ac:dyDescent="0.3">
      <c r="A10" s="12"/>
      <c r="B10" s="12"/>
      <c r="C10" s="12"/>
      <c r="D10" s="12"/>
      <c r="E10" s="12"/>
      <c r="F10" s="12"/>
      <c r="G10" s="12"/>
      <c r="H10" s="12"/>
      <c r="I10" s="12"/>
      <c r="J10" s="12"/>
      <c r="K10" s="12"/>
      <c r="L10" s="12"/>
      <c r="M10" s="12"/>
      <c r="N10" s="12"/>
      <c r="O10" s="12"/>
      <c r="P10" s="12"/>
      <c r="Q10" s="12"/>
      <c r="R10" s="12"/>
      <c r="S10" s="12"/>
      <c r="T10" s="12"/>
      <c r="U10" s="12"/>
      <c r="V10" s="12"/>
      <c r="W10" s="12"/>
    </row>
    <row r="11" spans="1:23" x14ac:dyDescent="0.3">
      <c r="A11" s="12"/>
      <c r="B11" s="12"/>
      <c r="C11" s="12"/>
      <c r="D11" s="12"/>
      <c r="E11" s="12"/>
      <c r="F11" s="12"/>
      <c r="G11" s="12"/>
      <c r="H11" s="12"/>
      <c r="I11" s="12"/>
      <c r="J11" s="12"/>
      <c r="K11" s="12"/>
      <c r="L11" s="12"/>
      <c r="M11" s="12"/>
      <c r="N11" s="12"/>
      <c r="O11" s="12"/>
      <c r="P11" s="12"/>
      <c r="Q11" s="12"/>
      <c r="R11" s="12"/>
      <c r="S11" s="12"/>
      <c r="T11" s="12"/>
      <c r="U11" s="12"/>
      <c r="V11" s="12"/>
      <c r="W11" s="12"/>
    </row>
    <row r="12" spans="1:23" x14ac:dyDescent="0.3">
      <c r="A12" s="12"/>
      <c r="B12" s="12"/>
      <c r="C12" s="12"/>
      <c r="D12" s="12"/>
      <c r="E12" s="12"/>
      <c r="F12" s="12"/>
      <c r="G12" s="12"/>
      <c r="H12" s="12"/>
      <c r="I12" s="12"/>
      <c r="J12" s="12"/>
      <c r="K12" s="12"/>
      <c r="L12" s="12"/>
      <c r="M12" s="12"/>
      <c r="N12" s="12"/>
      <c r="O12" s="12"/>
      <c r="P12" s="12"/>
      <c r="Q12" s="12"/>
      <c r="R12" s="12"/>
      <c r="S12" s="12"/>
      <c r="T12" s="12"/>
      <c r="U12" s="12"/>
      <c r="V12" s="12"/>
      <c r="W12" s="12"/>
    </row>
    <row r="13" spans="1:23" x14ac:dyDescent="0.3">
      <c r="A13" s="12"/>
      <c r="B13" s="12"/>
      <c r="C13" s="12"/>
      <c r="D13" s="12"/>
      <c r="E13" s="12"/>
      <c r="F13" s="12"/>
      <c r="G13" s="12"/>
      <c r="H13" s="12"/>
      <c r="I13" s="12"/>
      <c r="J13" s="12"/>
      <c r="K13" s="12"/>
      <c r="L13" s="12"/>
      <c r="M13" s="12"/>
      <c r="N13" s="12"/>
      <c r="O13" s="12"/>
      <c r="P13" s="12"/>
      <c r="Q13" s="12"/>
      <c r="R13" s="12"/>
      <c r="S13" s="12"/>
      <c r="T13" s="12"/>
      <c r="U13" s="12"/>
      <c r="V13" s="12"/>
      <c r="W13" s="12"/>
    </row>
    <row r="14" spans="1:23" x14ac:dyDescent="0.3">
      <c r="A14" s="12"/>
      <c r="B14" s="12"/>
      <c r="C14" s="12"/>
      <c r="D14" s="12"/>
      <c r="E14" s="12"/>
      <c r="F14" s="12"/>
      <c r="G14" s="12"/>
      <c r="H14" s="12"/>
      <c r="I14" s="12"/>
      <c r="J14" s="12"/>
      <c r="K14" s="12"/>
      <c r="L14" s="12"/>
      <c r="M14" s="12"/>
      <c r="N14" s="12"/>
      <c r="O14" s="12"/>
      <c r="P14" s="12"/>
      <c r="Q14" s="12"/>
      <c r="R14" s="12"/>
      <c r="S14" s="12"/>
      <c r="T14" s="12"/>
      <c r="U14" s="12"/>
      <c r="V14" s="12"/>
      <c r="W14" s="12"/>
    </row>
    <row r="15" spans="1:23" x14ac:dyDescent="0.3">
      <c r="A15" s="12"/>
      <c r="B15" s="12"/>
      <c r="C15" s="12"/>
      <c r="D15" s="12"/>
      <c r="E15" s="12"/>
      <c r="F15" s="12"/>
      <c r="G15" s="12"/>
      <c r="H15" s="12"/>
      <c r="I15" s="12"/>
      <c r="J15" s="12"/>
      <c r="K15" s="12"/>
      <c r="L15" s="12"/>
      <c r="M15" s="12"/>
      <c r="N15" s="12"/>
      <c r="O15" s="12"/>
      <c r="P15" s="12"/>
      <c r="Q15" s="12"/>
      <c r="R15" s="12"/>
      <c r="S15" s="12"/>
      <c r="T15" s="12"/>
      <c r="U15" s="12"/>
      <c r="V15" s="12"/>
      <c r="W15" s="12"/>
    </row>
    <row r="16" spans="1:23" x14ac:dyDescent="0.3">
      <c r="A16" s="12"/>
      <c r="B16" s="12"/>
      <c r="C16" s="12"/>
      <c r="D16" s="12"/>
      <c r="E16" s="12"/>
      <c r="F16" s="12"/>
      <c r="G16" s="12"/>
      <c r="H16" s="12"/>
      <c r="I16" s="12"/>
      <c r="J16" s="12"/>
      <c r="K16" s="12"/>
      <c r="L16" s="12"/>
      <c r="M16" s="12"/>
      <c r="N16" s="12"/>
      <c r="O16" s="12"/>
      <c r="P16" s="12"/>
      <c r="Q16" s="12"/>
      <c r="R16" s="12"/>
      <c r="S16" s="12"/>
      <c r="T16" s="12"/>
      <c r="U16" s="12"/>
      <c r="V16" s="12"/>
      <c r="W16" s="12"/>
    </row>
    <row r="17" spans="1:23" x14ac:dyDescent="0.3">
      <c r="A17" s="12"/>
      <c r="B17" s="12"/>
      <c r="C17" s="12"/>
      <c r="D17" s="12"/>
      <c r="E17" s="12"/>
      <c r="F17" s="12"/>
      <c r="G17" s="12"/>
      <c r="H17" s="12"/>
      <c r="I17" s="12"/>
      <c r="J17" s="12"/>
      <c r="K17" s="12"/>
      <c r="L17" s="12"/>
      <c r="M17" s="12"/>
      <c r="N17" s="12"/>
      <c r="O17" s="12"/>
      <c r="P17" s="12"/>
      <c r="Q17" s="12"/>
      <c r="R17" s="12"/>
      <c r="S17" s="12"/>
      <c r="T17" s="12"/>
      <c r="U17" s="12"/>
      <c r="V17" s="12"/>
      <c r="W17" s="12"/>
    </row>
    <row r="18" spans="1:23" x14ac:dyDescent="0.3">
      <c r="A18" s="12"/>
      <c r="B18" s="12"/>
      <c r="C18" s="12"/>
      <c r="D18" s="12"/>
      <c r="E18" s="12"/>
      <c r="F18" s="12"/>
      <c r="G18" s="12"/>
      <c r="H18" s="12"/>
      <c r="I18" s="12"/>
      <c r="J18" s="12"/>
      <c r="K18" s="12"/>
      <c r="L18" s="12"/>
      <c r="M18" s="12"/>
      <c r="N18" s="12"/>
      <c r="O18" s="12"/>
      <c r="P18" s="12"/>
      <c r="Q18" s="12"/>
      <c r="R18" s="12"/>
      <c r="S18" s="12"/>
      <c r="T18" s="12"/>
      <c r="U18" s="12"/>
      <c r="V18" s="12"/>
      <c r="W18" s="12"/>
    </row>
    <row r="19" spans="1:23" x14ac:dyDescent="0.3">
      <c r="A19" s="12"/>
      <c r="B19" s="12"/>
      <c r="C19" s="12"/>
      <c r="D19" s="12"/>
      <c r="E19" s="12"/>
      <c r="F19" s="12"/>
      <c r="G19" s="12"/>
      <c r="H19" s="12"/>
      <c r="I19" s="12"/>
      <c r="J19" s="12"/>
      <c r="K19" s="12"/>
      <c r="L19" s="12"/>
      <c r="M19" s="12"/>
      <c r="N19" s="12"/>
      <c r="O19" s="12"/>
      <c r="P19" s="12"/>
      <c r="Q19" s="12"/>
      <c r="R19" s="12"/>
      <c r="S19" s="12"/>
      <c r="T19" s="12"/>
      <c r="U19" s="12"/>
      <c r="V19" s="12"/>
      <c r="W19" s="12"/>
    </row>
    <row r="20" spans="1:23" x14ac:dyDescent="0.3">
      <c r="A20" s="12"/>
      <c r="B20" s="12"/>
      <c r="C20" s="12"/>
      <c r="D20" s="12"/>
      <c r="E20" s="12"/>
      <c r="F20" s="12"/>
      <c r="G20" s="12"/>
      <c r="H20" s="12"/>
      <c r="I20" s="12"/>
      <c r="J20" s="12"/>
      <c r="K20" s="12"/>
      <c r="L20" s="12"/>
      <c r="M20" s="12"/>
      <c r="N20" s="12"/>
      <c r="O20" s="12"/>
      <c r="P20" s="12"/>
      <c r="Q20" s="12"/>
      <c r="R20" s="12"/>
      <c r="S20" s="12"/>
      <c r="T20" s="12"/>
      <c r="U20" s="12"/>
      <c r="V20" s="12"/>
      <c r="W20" s="12"/>
    </row>
    <row r="21" spans="1:23" x14ac:dyDescent="0.3">
      <c r="A21" s="12"/>
      <c r="B21" s="12"/>
      <c r="C21" s="12"/>
      <c r="D21" s="12"/>
      <c r="E21" s="12"/>
      <c r="F21" s="12"/>
      <c r="G21" s="12"/>
      <c r="H21" s="12"/>
      <c r="I21" s="12"/>
      <c r="J21" s="12"/>
      <c r="K21" s="12"/>
      <c r="L21" s="12"/>
      <c r="M21" s="12"/>
      <c r="N21" s="12"/>
      <c r="O21" s="12"/>
      <c r="P21" s="12"/>
      <c r="Q21" s="12"/>
      <c r="R21" s="12"/>
      <c r="S21" s="12"/>
      <c r="T21" s="12"/>
      <c r="U21" s="12"/>
      <c r="V21" s="12"/>
      <c r="W21" s="12"/>
    </row>
    <row r="22" spans="1:23" x14ac:dyDescent="0.3">
      <c r="A22" s="12"/>
      <c r="B22" s="12"/>
      <c r="C22" s="12"/>
      <c r="D22" s="12"/>
      <c r="E22" s="12"/>
      <c r="F22" s="12"/>
      <c r="G22" s="12"/>
      <c r="H22" s="12"/>
      <c r="I22" s="12"/>
      <c r="J22" s="12"/>
      <c r="K22" s="12"/>
      <c r="L22" s="12"/>
      <c r="M22" s="12"/>
      <c r="N22" s="12"/>
      <c r="O22" s="12"/>
      <c r="P22" s="12"/>
      <c r="Q22" s="12"/>
      <c r="R22" s="12"/>
      <c r="S22" s="12"/>
      <c r="T22" s="12"/>
      <c r="U22" s="12"/>
      <c r="V22" s="12"/>
      <c r="W22" s="12"/>
    </row>
    <row r="23" spans="1:23" x14ac:dyDescent="0.3">
      <c r="A23" s="12"/>
      <c r="B23" s="12"/>
      <c r="C23" s="12"/>
      <c r="D23" s="12"/>
      <c r="E23" s="12"/>
      <c r="F23" s="12"/>
      <c r="G23" s="12"/>
      <c r="H23" s="12"/>
      <c r="I23" s="12"/>
      <c r="J23" s="12"/>
      <c r="K23" s="12"/>
      <c r="L23" s="12"/>
      <c r="M23" s="12"/>
      <c r="N23" s="12"/>
      <c r="O23" s="12"/>
      <c r="P23" s="12"/>
      <c r="Q23" s="12"/>
      <c r="R23" s="12"/>
      <c r="S23" s="12"/>
      <c r="T23" s="12"/>
      <c r="U23" s="12"/>
      <c r="V23" s="12"/>
      <c r="W23" s="12"/>
    </row>
    <row r="24" spans="1:23" x14ac:dyDescent="0.3">
      <c r="A24" s="12"/>
      <c r="B24" s="12"/>
      <c r="C24" s="12"/>
      <c r="D24" s="12"/>
      <c r="E24" s="12"/>
      <c r="F24" s="12"/>
      <c r="G24" s="12"/>
      <c r="H24" s="12"/>
      <c r="I24" s="12"/>
      <c r="J24" s="12"/>
      <c r="K24" s="12"/>
      <c r="L24" s="12"/>
      <c r="M24" s="12"/>
      <c r="N24" s="12"/>
      <c r="O24" s="12"/>
      <c r="P24" s="12"/>
      <c r="Q24" s="12"/>
      <c r="R24" s="12"/>
      <c r="S24" s="12"/>
      <c r="T24" s="12"/>
      <c r="U24" s="12"/>
      <c r="V24" s="12"/>
      <c r="W24" s="12"/>
    </row>
    <row r="25" spans="1:23" x14ac:dyDescent="0.3">
      <c r="A25" s="12"/>
      <c r="B25" s="12"/>
      <c r="C25" s="12"/>
      <c r="D25" s="12"/>
      <c r="E25" s="12"/>
      <c r="F25" s="12"/>
      <c r="G25" s="12"/>
      <c r="H25" s="12"/>
      <c r="I25" s="12"/>
      <c r="J25" s="12"/>
      <c r="K25" s="12"/>
      <c r="L25" s="12"/>
      <c r="M25" s="12"/>
      <c r="N25" s="12"/>
      <c r="O25" s="12"/>
      <c r="P25" s="12"/>
      <c r="Q25" s="12"/>
      <c r="R25" s="12"/>
      <c r="S25" s="12"/>
      <c r="T25" s="12"/>
      <c r="U25" s="12"/>
      <c r="V25" s="12"/>
      <c r="W25" s="12"/>
    </row>
    <row r="26" spans="1:23" x14ac:dyDescent="0.3">
      <c r="A26" s="12"/>
      <c r="B26" s="12"/>
      <c r="C26" s="12"/>
      <c r="D26" s="12"/>
      <c r="E26" s="12"/>
      <c r="F26" s="12"/>
      <c r="G26" s="12"/>
      <c r="H26" s="12"/>
      <c r="I26" s="12"/>
      <c r="J26" s="12"/>
      <c r="K26" s="12"/>
      <c r="L26" s="12"/>
      <c r="M26" s="12"/>
      <c r="N26" s="12"/>
      <c r="O26" s="12"/>
      <c r="P26" s="12"/>
      <c r="Q26" s="12"/>
      <c r="R26" s="12"/>
      <c r="S26" s="12"/>
      <c r="T26" s="12"/>
      <c r="U26" s="12"/>
      <c r="V26" s="12"/>
      <c r="W26" s="12"/>
    </row>
    <row r="27" spans="1:23" x14ac:dyDescent="0.3">
      <c r="A27" s="12"/>
      <c r="B27" s="12"/>
      <c r="C27" s="12"/>
      <c r="D27" s="12"/>
      <c r="E27" s="12"/>
      <c r="F27" s="12"/>
      <c r="G27" s="12"/>
      <c r="H27" s="12"/>
      <c r="I27" s="12"/>
      <c r="J27" s="12"/>
      <c r="K27" s="12"/>
      <c r="L27" s="12"/>
      <c r="M27" s="12"/>
      <c r="N27" s="12"/>
      <c r="O27" s="12"/>
      <c r="P27" s="12"/>
      <c r="Q27" s="12"/>
      <c r="R27" s="12"/>
      <c r="S27" s="12"/>
      <c r="T27" s="12"/>
      <c r="U27" s="12"/>
      <c r="V27" s="12"/>
      <c r="W27" s="12"/>
    </row>
    <row r="28" spans="1:23" x14ac:dyDescent="0.3">
      <c r="A28" s="12"/>
      <c r="B28" s="12"/>
      <c r="C28" s="12"/>
      <c r="D28" s="12"/>
      <c r="E28" s="12"/>
      <c r="F28" s="12"/>
      <c r="G28" s="12"/>
      <c r="H28" s="12"/>
      <c r="I28" s="12"/>
      <c r="J28" s="12"/>
      <c r="K28" s="12"/>
      <c r="L28" s="12"/>
      <c r="M28" s="12"/>
      <c r="N28" s="12"/>
      <c r="O28" s="12"/>
      <c r="P28" s="12"/>
      <c r="Q28" s="12"/>
      <c r="R28" s="12"/>
      <c r="S28" s="12"/>
      <c r="T28" s="12"/>
      <c r="U28" s="12"/>
      <c r="V28" s="12"/>
      <c r="W28" s="12"/>
    </row>
    <row r="29" spans="1:23" x14ac:dyDescent="0.3">
      <c r="A29" s="12"/>
      <c r="B29" s="12"/>
      <c r="C29" s="12"/>
      <c r="D29" s="12"/>
      <c r="E29" s="12"/>
      <c r="F29" s="12"/>
      <c r="G29" s="12"/>
      <c r="H29" s="12"/>
      <c r="I29" s="12"/>
      <c r="J29" s="12"/>
      <c r="K29" s="12"/>
      <c r="L29" s="12"/>
      <c r="M29" s="12"/>
      <c r="N29" s="12"/>
      <c r="O29" s="12"/>
      <c r="P29" s="12"/>
      <c r="Q29" s="12"/>
      <c r="R29" s="12"/>
      <c r="S29" s="12"/>
      <c r="T29" s="12"/>
      <c r="U29" s="12"/>
      <c r="V29" s="12"/>
      <c r="W29" s="12"/>
    </row>
    <row r="30" spans="1:23" x14ac:dyDescent="0.3">
      <c r="A30" s="12"/>
      <c r="B30" s="12"/>
      <c r="C30" s="12"/>
      <c r="D30" s="12"/>
      <c r="E30" s="12"/>
      <c r="F30" s="12"/>
      <c r="G30" s="12"/>
      <c r="H30" s="12"/>
      <c r="I30" s="12"/>
      <c r="J30" s="12"/>
      <c r="K30" s="12"/>
      <c r="L30" s="12"/>
      <c r="M30" s="12"/>
      <c r="N30" s="12"/>
      <c r="O30" s="12"/>
      <c r="P30" s="12"/>
      <c r="Q30" s="12"/>
      <c r="R30" s="12"/>
      <c r="S30" s="12"/>
      <c r="T30" s="12"/>
      <c r="U30" s="12"/>
      <c r="V30" s="12"/>
      <c r="W30" s="12"/>
    </row>
    <row r="31" spans="1:23" x14ac:dyDescent="0.3">
      <c r="A31" s="12"/>
      <c r="B31" s="12"/>
      <c r="C31" s="12"/>
      <c r="D31" s="12"/>
      <c r="E31" s="12"/>
      <c r="F31" s="12"/>
      <c r="G31" s="12"/>
      <c r="H31" s="12"/>
      <c r="I31" s="12"/>
      <c r="J31" s="12"/>
      <c r="K31" s="12"/>
      <c r="L31" s="12"/>
      <c r="M31" s="12"/>
      <c r="N31" s="12"/>
      <c r="O31" s="12"/>
      <c r="P31" s="12"/>
      <c r="Q31" s="12"/>
      <c r="R31" s="12"/>
      <c r="S31" s="12"/>
      <c r="T31" s="12"/>
      <c r="U31" s="12"/>
      <c r="V31" s="12"/>
      <c r="W31" s="12"/>
    </row>
    <row r="32" spans="1:23" x14ac:dyDescent="0.3">
      <c r="A32" s="12"/>
      <c r="B32" s="12"/>
      <c r="C32" s="12"/>
      <c r="D32" s="12"/>
      <c r="E32" s="12"/>
      <c r="F32" s="12"/>
      <c r="G32" s="12"/>
      <c r="H32" s="12"/>
      <c r="I32" s="12"/>
      <c r="J32" s="12"/>
      <c r="K32" s="12"/>
      <c r="L32" s="12"/>
      <c r="M32" s="12"/>
      <c r="N32" s="12"/>
      <c r="O32" s="12"/>
      <c r="P32" s="12"/>
      <c r="Q32" s="12"/>
      <c r="R32" s="12"/>
      <c r="S32" s="12"/>
      <c r="T32" s="12"/>
      <c r="U32" s="12"/>
      <c r="V32" s="12"/>
      <c r="W32" s="12"/>
    </row>
    <row r="33" spans="1:23" x14ac:dyDescent="0.3">
      <c r="A33" s="12"/>
      <c r="B33" s="12"/>
      <c r="C33" s="12"/>
      <c r="D33" s="12"/>
      <c r="E33" s="12"/>
      <c r="F33" s="12"/>
      <c r="G33" s="12"/>
      <c r="H33" s="12"/>
      <c r="I33" s="12"/>
      <c r="J33" s="12"/>
      <c r="K33" s="12"/>
      <c r="L33" s="12"/>
      <c r="M33" s="12"/>
      <c r="N33" s="12"/>
      <c r="O33" s="12"/>
      <c r="P33" s="12"/>
      <c r="Q33" s="12"/>
      <c r="R33" s="12"/>
      <c r="S33" s="12"/>
      <c r="T33" s="12"/>
      <c r="U33" s="12"/>
      <c r="V33" s="12"/>
      <c r="W33" s="12"/>
    </row>
    <row r="34" spans="1:23" x14ac:dyDescent="0.3">
      <c r="A34" s="12"/>
      <c r="B34" s="12"/>
      <c r="C34" s="12"/>
      <c r="D34" s="12"/>
      <c r="E34" s="12"/>
      <c r="F34" s="12"/>
      <c r="G34" s="12"/>
      <c r="H34" s="12"/>
      <c r="I34" s="12"/>
      <c r="J34" s="12"/>
      <c r="K34" s="12"/>
      <c r="L34" s="12"/>
      <c r="M34" s="12"/>
      <c r="N34" s="12"/>
      <c r="O34" s="12"/>
      <c r="P34" s="12"/>
      <c r="Q34" s="12"/>
      <c r="R34" s="12"/>
      <c r="S34" s="12"/>
      <c r="T34" s="12"/>
      <c r="U34" s="12"/>
      <c r="V34" s="12"/>
      <c r="W34" s="12"/>
    </row>
    <row r="35" spans="1:23" x14ac:dyDescent="0.3">
      <c r="A35" s="12"/>
      <c r="B35" s="12"/>
      <c r="C35" s="12"/>
      <c r="D35" s="12"/>
      <c r="E35" s="12"/>
      <c r="F35" s="12"/>
      <c r="G35" s="12"/>
      <c r="H35" s="12"/>
      <c r="I35" s="12"/>
      <c r="J35" s="12"/>
      <c r="K35" s="12"/>
      <c r="L35" s="12"/>
      <c r="M35" s="12"/>
      <c r="N35" s="12"/>
      <c r="O35" s="12"/>
      <c r="P35" s="12"/>
      <c r="Q35" s="12"/>
      <c r="R35" s="12"/>
      <c r="S35" s="12"/>
      <c r="T35" s="12"/>
      <c r="U35" s="12"/>
      <c r="V35" s="12"/>
      <c r="W35" s="12"/>
    </row>
    <row r="36" spans="1:23" x14ac:dyDescent="0.3">
      <c r="A36" s="12"/>
      <c r="B36" s="12"/>
      <c r="C36" s="12"/>
      <c r="D36" s="12"/>
      <c r="E36" s="12"/>
      <c r="F36" s="12"/>
      <c r="G36" s="12"/>
      <c r="H36" s="12"/>
      <c r="I36" s="12"/>
      <c r="J36" s="12"/>
      <c r="K36" s="12"/>
      <c r="L36" s="12"/>
      <c r="M36" s="12"/>
      <c r="N36" s="12"/>
      <c r="O36" s="12"/>
      <c r="P36" s="12"/>
      <c r="Q36" s="12"/>
      <c r="R36" s="12"/>
      <c r="S36" s="12"/>
      <c r="T36" s="12"/>
      <c r="U36" s="12"/>
      <c r="V36" s="12"/>
      <c r="W36" s="12"/>
    </row>
    <row r="37" spans="1:23" x14ac:dyDescent="0.3">
      <c r="A37" s="12"/>
      <c r="B37" s="12"/>
      <c r="C37" s="12"/>
      <c r="D37" s="12"/>
      <c r="E37" s="12"/>
      <c r="F37" s="12"/>
      <c r="G37" s="12"/>
      <c r="H37" s="12"/>
      <c r="I37" s="12"/>
      <c r="J37" s="12"/>
      <c r="K37" s="12"/>
      <c r="L37" s="12"/>
      <c r="M37" s="12"/>
      <c r="N37" s="12"/>
      <c r="O37" s="12"/>
      <c r="P37" s="12"/>
      <c r="Q37" s="12"/>
      <c r="R37" s="12"/>
      <c r="S37" s="12"/>
      <c r="T37" s="12"/>
      <c r="U37" s="12"/>
      <c r="V37" s="12"/>
      <c r="W37" s="12"/>
    </row>
    <row r="38" spans="1:23" x14ac:dyDescent="0.3">
      <c r="A38" s="12"/>
      <c r="B38" s="12"/>
      <c r="C38" s="12"/>
      <c r="D38" s="12"/>
      <c r="E38" s="12"/>
      <c r="F38" s="12"/>
      <c r="G38" s="12"/>
      <c r="H38" s="12"/>
      <c r="I38" s="12"/>
      <c r="J38" s="12"/>
      <c r="K38" s="12"/>
      <c r="L38" s="12"/>
      <c r="M38" s="12"/>
      <c r="N38" s="12"/>
      <c r="O38" s="12"/>
      <c r="P38" s="12"/>
      <c r="Q38" s="12"/>
      <c r="R38" s="12"/>
      <c r="S38" s="12"/>
      <c r="T38" s="12"/>
      <c r="U38" s="12"/>
      <c r="V38" s="12"/>
      <c r="W38" s="12"/>
    </row>
    <row r="39" spans="1:23" x14ac:dyDescent="0.3">
      <c r="A39" s="12"/>
      <c r="B39" s="12"/>
      <c r="C39" s="12"/>
      <c r="D39" s="12"/>
      <c r="E39" s="12"/>
      <c r="F39" s="12"/>
      <c r="G39" s="12"/>
      <c r="H39" s="12"/>
      <c r="I39" s="12"/>
      <c r="J39" s="12"/>
      <c r="K39" s="12"/>
      <c r="L39" s="12"/>
      <c r="M39" s="12"/>
      <c r="N39" s="12"/>
      <c r="O39" s="12"/>
      <c r="P39" s="12"/>
      <c r="Q39" s="12"/>
      <c r="R39" s="12"/>
      <c r="S39" s="12"/>
      <c r="T39" s="12"/>
      <c r="U39" s="12"/>
      <c r="V39" s="12"/>
      <c r="W39" s="12"/>
    </row>
    <row r="40" spans="1:23" x14ac:dyDescent="0.3">
      <c r="A40" s="12"/>
      <c r="B40" s="12"/>
      <c r="C40" s="12"/>
      <c r="D40" s="12"/>
      <c r="E40" s="12"/>
      <c r="F40" s="12"/>
      <c r="G40" s="12"/>
      <c r="H40" s="12"/>
      <c r="I40" s="12"/>
      <c r="J40" s="12"/>
      <c r="K40" s="12"/>
      <c r="L40" s="12"/>
      <c r="M40" s="12"/>
      <c r="N40" s="12"/>
      <c r="O40" s="12"/>
      <c r="P40" s="12"/>
      <c r="Q40" s="12"/>
      <c r="R40" s="12"/>
      <c r="S40" s="12"/>
      <c r="T40" s="12"/>
      <c r="U40" s="12"/>
      <c r="V40" s="12"/>
      <c r="W40" s="12"/>
    </row>
    <row r="41" spans="1:23" x14ac:dyDescent="0.3">
      <c r="A41" s="12"/>
      <c r="B41" s="12"/>
      <c r="C41" s="12"/>
      <c r="D41" s="12"/>
      <c r="E41" s="12"/>
      <c r="F41" s="12"/>
      <c r="G41" s="12"/>
      <c r="H41" s="12"/>
      <c r="I41" s="12"/>
      <c r="J41" s="12"/>
      <c r="K41" s="12"/>
      <c r="L41" s="12"/>
      <c r="M41" s="12"/>
      <c r="N41" s="12"/>
      <c r="O41" s="12"/>
      <c r="P41" s="12"/>
      <c r="Q41" s="12"/>
      <c r="R41" s="12"/>
      <c r="S41" s="12"/>
      <c r="T41" s="12"/>
      <c r="U41" s="12"/>
      <c r="V41" s="12"/>
      <c r="W41" s="12"/>
    </row>
    <row r="42" spans="1:23" x14ac:dyDescent="0.3">
      <c r="A42" s="12"/>
      <c r="B42" s="12"/>
      <c r="C42" s="12"/>
      <c r="D42" s="12"/>
      <c r="E42" s="12"/>
      <c r="F42" s="12"/>
      <c r="G42" s="12"/>
      <c r="H42" s="12"/>
      <c r="I42" s="12"/>
      <c r="J42" s="12"/>
      <c r="K42" s="12"/>
      <c r="L42" s="12"/>
      <c r="M42" s="12"/>
      <c r="N42" s="12"/>
      <c r="O42" s="12"/>
      <c r="P42" s="12"/>
      <c r="Q42" s="12"/>
      <c r="R42" s="12"/>
      <c r="S42" s="12"/>
      <c r="T42" s="12"/>
      <c r="U42" s="12"/>
      <c r="V42" s="12"/>
      <c r="W42" s="12"/>
    </row>
    <row r="43" spans="1:23" x14ac:dyDescent="0.3">
      <c r="A43" s="12"/>
      <c r="B43" s="12"/>
      <c r="C43" s="12"/>
      <c r="D43" s="12"/>
      <c r="E43" s="12"/>
      <c r="F43" s="12"/>
      <c r="G43" s="12"/>
      <c r="H43" s="12"/>
      <c r="I43" s="12"/>
      <c r="J43" s="12"/>
      <c r="K43" s="12"/>
      <c r="L43" s="12"/>
      <c r="M43" s="12"/>
      <c r="N43" s="12"/>
      <c r="O43" s="12"/>
      <c r="P43" s="12"/>
      <c r="Q43" s="12"/>
      <c r="R43" s="12"/>
      <c r="S43" s="12"/>
      <c r="T43" s="12"/>
      <c r="U43" s="12"/>
      <c r="V43" s="12"/>
      <c r="W43" s="12"/>
    </row>
    <row r="44" spans="1:23" x14ac:dyDescent="0.3">
      <c r="A44" s="12"/>
      <c r="B44" s="12"/>
      <c r="C44" s="12"/>
      <c r="D44" s="12"/>
      <c r="E44" s="12"/>
      <c r="F44" s="12"/>
      <c r="G44" s="12"/>
      <c r="H44" s="12"/>
      <c r="I44" s="12"/>
      <c r="J44" s="12"/>
      <c r="K44" s="12"/>
      <c r="L44" s="12"/>
      <c r="M44" s="12"/>
      <c r="N44" s="12"/>
      <c r="O44" s="12"/>
      <c r="P44" s="12"/>
      <c r="Q44" s="12"/>
      <c r="R44" s="12"/>
      <c r="S44" s="12"/>
      <c r="T44" s="12"/>
      <c r="U44" s="12"/>
      <c r="V44" s="12"/>
      <c r="W44" s="12"/>
    </row>
    <row r="45" spans="1:23" x14ac:dyDescent="0.3">
      <c r="A45" s="12"/>
      <c r="B45" s="12"/>
      <c r="C45" s="12"/>
      <c r="D45" s="12"/>
      <c r="E45" s="12"/>
      <c r="F45" s="12"/>
      <c r="G45" s="12"/>
      <c r="H45" s="12"/>
      <c r="I45" s="12"/>
      <c r="J45" s="12"/>
      <c r="K45" s="12"/>
      <c r="L45" s="12"/>
      <c r="M45" s="12"/>
      <c r="N45" s="12"/>
      <c r="O45" s="12"/>
      <c r="P45" s="12"/>
      <c r="Q45" s="12"/>
      <c r="R45" s="12"/>
      <c r="S45" s="12"/>
      <c r="T45" s="12"/>
      <c r="U45" s="12"/>
      <c r="V45" s="12"/>
      <c r="W45" s="12"/>
    </row>
    <row r="46" spans="1:23" x14ac:dyDescent="0.3">
      <c r="A46" s="12"/>
      <c r="B46" s="12"/>
      <c r="C46" s="12"/>
      <c r="D46" s="12"/>
      <c r="E46" s="12"/>
      <c r="F46" s="12"/>
      <c r="G46" s="12"/>
      <c r="H46" s="12"/>
      <c r="I46" s="12"/>
      <c r="J46" s="12"/>
      <c r="K46" s="12"/>
      <c r="L46" s="12"/>
      <c r="M46" s="12"/>
      <c r="N46" s="12"/>
      <c r="O46" s="12"/>
      <c r="P46" s="12"/>
      <c r="Q46" s="12"/>
      <c r="R46" s="12"/>
      <c r="S46" s="12"/>
      <c r="T46" s="12"/>
      <c r="U46" s="12"/>
      <c r="V46" s="12"/>
      <c r="W46" s="12"/>
    </row>
    <row r="47" spans="1:23" x14ac:dyDescent="0.3">
      <c r="A47" s="12"/>
      <c r="B47" s="12"/>
      <c r="C47" s="12"/>
      <c r="D47" s="12"/>
      <c r="E47" s="12"/>
      <c r="F47" s="12"/>
      <c r="G47" s="12"/>
      <c r="H47" s="12"/>
      <c r="I47" s="12"/>
      <c r="J47" s="12"/>
      <c r="K47" s="12"/>
      <c r="L47" s="12"/>
      <c r="M47" s="12"/>
      <c r="N47" s="12"/>
      <c r="O47" s="12"/>
      <c r="P47" s="12"/>
      <c r="Q47" s="12"/>
      <c r="R47" s="12"/>
      <c r="S47" s="12"/>
      <c r="T47" s="12"/>
      <c r="U47" s="12"/>
      <c r="V47" s="12"/>
      <c r="W47" s="12"/>
    </row>
    <row r="48" spans="1:23" x14ac:dyDescent="0.3">
      <c r="A48" s="12"/>
      <c r="B48" s="12"/>
      <c r="C48" s="12"/>
      <c r="D48" s="12"/>
      <c r="E48" s="12"/>
      <c r="F48" s="12"/>
      <c r="G48" s="12"/>
      <c r="H48" s="12"/>
      <c r="I48" s="12"/>
      <c r="J48" s="12"/>
      <c r="K48" s="12"/>
      <c r="L48" s="12"/>
      <c r="M48" s="12"/>
      <c r="N48" s="12"/>
      <c r="O48" s="12"/>
      <c r="P48" s="12"/>
      <c r="Q48" s="12"/>
      <c r="R48" s="12"/>
      <c r="S48" s="12"/>
      <c r="T48" s="12"/>
      <c r="U48" s="12"/>
      <c r="V48" s="12"/>
      <c r="W48" s="12"/>
    </row>
    <row r="49" spans="1:23" x14ac:dyDescent="0.3">
      <c r="A49" s="12"/>
      <c r="B49" s="12"/>
      <c r="C49" s="12"/>
      <c r="D49" s="12"/>
      <c r="E49" s="12"/>
      <c r="F49" s="12"/>
      <c r="G49" s="12"/>
      <c r="H49" s="12"/>
      <c r="I49" s="12"/>
      <c r="J49" s="12"/>
      <c r="K49" s="12"/>
      <c r="L49" s="12"/>
      <c r="M49" s="12"/>
      <c r="N49" s="12"/>
      <c r="O49" s="12"/>
      <c r="P49" s="12"/>
      <c r="Q49" s="12"/>
      <c r="R49" s="12"/>
      <c r="S49" s="12"/>
      <c r="T49" s="12"/>
      <c r="U49" s="12"/>
      <c r="V49" s="12"/>
      <c r="W4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Excel_jumia_dataset</vt:lpstr>
      <vt:lpstr>Working Sheet</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Mary Ngure</cp:lastModifiedBy>
  <dcterms:created xsi:type="dcterms:W3CDTF">2026-06-05T10:05:58Z</dcterms:created>
  <dcterms:modified xsi:type="dcterms:W3CDTF">2026-06-11T18:58:12Z</dcterms:modified>
</cp:coreProperties>
</file>